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m\Google Drive\Excel\Tutoriales\Punto de Venta\Clase 12\"/>
    </mc:Choice>
  </mc:AlternateContent>
  <xr:revisionPtr revIDLastSave="0" documentId="13_ncr:1_{B61F1D71-2052-4BC6-9AF0-990C8ACDF41D}" xr6:coauthVersionLast="46" xr6:coauthVersionMax="46" xr10:uidLastSave="{00000000-0000-0000-0000-000000000000}"/>
  <bookViews>
    <workbookView xWindow="0" yWindow="0" windowWidth="11250" windowHeight="10575" tabRatio="897" firstSheet="7" activeTab="11" xr2:uid="{9EDCFC30-1A92-4020-8783-EBB641C415BC}"/>
  </bookViews>
  <sheets>
    <sheet name="Empresa" sheetId="1" r:id="rId1"/>
    <sheet name="Hoja2" sheetId="2" r:id="rId2"/>
    <sheet name="Catalogos" sheetId="6" r:id="rId3"/>
    <sheet name="Articulos" sheetId="9" r:id="rId4"/>
    <sheet name="HistArtic" sheetId="13" r:id="rId5"/>
    <sheet name="Compras" sheetId="7" r:id="rId6"/>
    <sheet name="ComprasDetalle" sheetId="8" r:id="rId7"/>
    <sheet name="Ventas" sheetId="11" r:id="rId8"/>
    <sheet name="VentasDetalle" sheetId="12" r:id="rId9"/>
    <sheet name="MovCaja" sheetId="14" r:id="rId10"/>
    <sheet name="Ticket" sheetId="15" r:id="rId11"/>
    <sheet name="Inventario" sheetId="10" r:id="rId12"/>
    <sheet name="Usuarios" sheetId="3" r:id="rId13"/>
    <sheet name="Clientes_Proveedores" sheetId="5" r:id="rId14"/>
    <sheet name="PrivilegioUsuarios" sheetId="4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0" l="1"/>
  <c r="H14" i="10"/>
  <c r="G15" i="10"/>
  <c r="H15" i="10"/>
  <c r="G5" i="10"/>
  <c r="G6" i="10"/>
  <c r="G7" i="10"/>
  <c r="G8" i="10"/>
  <c r="G9" i="10"/>
  <c r="G10" i="10"/>
  <c r="G11" i="10"/>
  <c r="G12" i="10"/>
  <c r="G13" i="10"/>
  <c r="G4" i="10"/>
  <c r="H5" i="10"/>
  <c r="H6" i="10"/>
  <c r="H7" i="10"/>
  <c r="H8" i="10"/>
  <c r="H9" i="10"/>
  <c r="H10" i="10"/>
  <c r="H11" i="10"/>
  <c r="H12" i="10"/>
  <c r="H13" i="10"/>
  <c r="H4" i="10"/>
  <c r="I15" i="10" l="1"/>
  <c r="I14" i="10"/>
  <c r="I9" i="10"/>
  <c r="I5" i="10"/>
  <c r="I7" i="10"/>
  <c r="I8" i="10"/>
  <c r="I11" i="10"/>
  <c r="I12" i="10"/>
  <c r="I13" i="10"/>
  <c r="I4" i="10"/>
  <c r="I10" i="10"/>
  <c r="I6" i="10"/>
</calcChain>
</file>

<file path=xl/sharedStrings.xml><?xml version="1.0" encoding="utf-8"?>
<sst xmlns="http://schemas.openxmlformats.org/spreadsheetml/2006/main" count="678" uniqueCount="222">
  <si>
    <t>ID</t>
  </si>
  <si>
    <t>USUARIO</t>
  </si>
  <si>
    <t>CONTRASEÑA</t>
  </si>
  <si>
    <t>NOMBRE</t>
  </si>
  <si>
    <t>EMAIL</t>
  </si>
  <si>
    <t>TELEFONO</t>
  </si>
  <si>
    <t>DOMICILIO</t>
  </si>
  <si>
    <t>NOMBRE USER</t>
  </si>
  <si>
    <t>CAJA</t>
  </si>
  <si>
    <t>CORTECAJA</t>
  </si>
  <si>
    <t>COMPRAS</t>
  </si>
  <si>
    <t>ARTICULOS</t>
  </si>
  <si>
    <t>CLIENTESPROV</t>
  </si>
  <si>
    <t>REPORTES</t>
  </si>
  <si>
    <t>USUARIOS</t>
  </si>
  <si>
    <t>EMPRESA</t>
  </si>
  <si>
    <t>CONFIGURACION</t>
  </si>
  <si>
    <t>INVENTARIOS</t>
  </si>
  <si>
    <t>REALIZO</t>
  </si>
  <si>
    <t>FECHA</t>
  </si>
  <si>
    <t>Admin</t>
  </si>
  <si>
    <t>12399</t>
  </si>
  <si>
    <t>Nombre Del Usuario Admin</t>
  </si>
  <si>
    <t>admin@gmail.com</t>
  </si>
  <si>
    <t>Maria</t>
  </si>
  <si>
    <t>Nombre De Maria</t>
  </si>
  <si>
    <t>Maria123</t>
  </si>
  <si>
    <t>mariga@gmail.com</t>
  </si>
  <si>
    <t>4656564646</t>
  </si>
  <si>
    <t>STATUS</t>
  </si>
  <si>
    <t>FECHA BAJA</t>
  </si>
  <si>
    <t>ACTIVO</t>
  </si>
  <si>
    <t>FECHA ALTA</t>
  </si>
  <si>
    <t>DOMILIO DE MARIA</t>
  </si>
  <si>
    <t>INACTIVO</t>
  </si>
  <si>
    <t>324322222</t>
  </si>
  <si>
    <t>DOMICLIO DEL USUARIO</t>
  </si>
  <si>
    <t>TIPO</t>
  </si>
  <si>
    <t>RFC</t>
  </si>
  <si>
    <t>PERSONA CONTACTO</t>
  </si>
  <si>
    <t>1</t>
  </si>
  <si>
    <t>PROVEEDOR</t>
  </si>
  <si>
    <t>NOMBRE DEL PROVEEDOR</t>
  </si>
  <si>
    <t>FECHA REGISTRO</t>
  </si>
  <si>
    <t>13/02/2021</t>
  </si>
  <si>
    <t>DSADFS0938204</t>
  </si>
  <si>
    <t>64654654654</t>
  </si>
  <si>
    <t/>
  </si>
  <si>
    <t>2</t>
  </si>
  <si>
    <t>CLIENTE</t>
  </si>
  <si>
    <t>CLIENTE UNO</t>
  </si>
  <si>
    <t>DOMICILIO DEL CLIENTE</t>
  </si>
  <si>
    <t>5464654</t>
  </si>
  <si>
    <t>DF23232343424</t>
  </si>
  <si>
    <t>SDFSDAFAAS</t>
  </si>
  <si>
    <t>3</t>
  </si>
  <si>
    <t>CLIENTE DOS</t>
  </si>
  <si>
    <t>DSDF230323</t>
  </si>
  <si>
    <t>4</t>
  </si>
  <si>
    <t>PROVEEDOR DOS</t>
  </si>
  <si>
    <t>SDFS2332423</t>
  </si>
  <si>
    <t>DOMI</t>
  </si>
  <si>
    <t>32424</t>
  </si>
  <si>
    <t>555545454</t>
  </si>
  <si>
    <t>GIRO O ACTIVIDAD</t>
  </si>
  <si>
    <t>CATEGORIA DE PROD</t>
  </si>
  <si>
    <t>MARCA</t>
  </si>
  <si>
    <t>NOMBRE DEL ARTICULO</t>
  </si>
  <si>
    <t>FECHA COMPRA</t>
  </si>
  <si>
    <t>FACTURA O NOTA</t>
  </si>
  <si>
    <t>TOTAL</t>
  </si>
  <si>
    <t>FORMA DE PAGO</t>
  </si>
  <si>
    <t>NUMERO DE ARTS</t>
  </si>
  <si>
    <t>PRECIO DE COSTO</t>
  </si>
  <si>
    <t>ARTICULO</t>
  </si>
  <si>
    <t>PRECIO DE VENTA</t>
  </si>
  <si>
    <t>CATEGORIA</t>
  </si>
  <si>
    <t>PRECIO MAYOREO</t>
  </si>
  <si>
    <t>NUM ARTS</t>
  </si>
  <si>
    <t>DESCTO %</t>
  </si>
  <si>
    <t>VIGENCIA DE</t>
  </si>
  <si>
    <t>VIGENCIA A</t>
  </si>
  <si>
    <t>ENTRADAS</t>
  </si>
  <si>
    <t>SALIDAS</t>
  </si>
  <si>
    <t>EXISTENCIA</t>
  </si>
  <si>
    <t>FECHA VENTA</t>
  </si>
  <si>
    <t>NUM TICKET</t>
  </si>
  <si>
    <t>TOTAL VENTA</t>
  </si>
  <si>
    <t>TOTAL RECIBIDO</t>
  </si>
  <si>
    <t>CAMBIO</t>
  </si>
  <si>
    <t>ID ARTIC</t>
  </si>
  <si>
    <t>NOMBRE ARTICULO</t>
  </si>
  <si>
    <t>CANTIDAD</t>
  </si>
  <si>
    <t>PRECIO UNITARIO</t>
  </si>
  <si>
    <t>Sin Categoria</t>
  </si>
  <si>
    <t>Sin Marca</t>
  </si>
  <si>
    <t>Papeleria</t>
  </si>
  <si>
    <t>Tienda de Abarrotes</t>
  </si>
  <si>
    <t>Ferreteria</t>
  </si>
  <si>
    <t>Farmacia</t>
  </si>
  <si>
    <t>Tienda de Ropa</t>
  </si>
  <si>
    <t>ABARROTES</t>
  </si>
  <si>
    <t>Vinos y Licores</t>
  </si>
  <si>
    <t>Cereales</t>
  </si>
  <si>
    <t>Botanas</t>
  </si>
  <si>
    <t>Lacteos</t>
  </si>
  <si>
    <t>La Costeña</t>
  </si>
  <si>
    <t>Barcel</t>
  </si>
  <si>
    <t>Sabritas</t>
  </si>
  <si>
    <t>Nestle</t>
  </si>
  <si>
    <t>Bimbo</t>
  </si>
  <si>
    <t>Frutas y Verduras</t>
  </si>
  <si>
    <t>Gaseosas</t>
  </si>
  <si>
    <t>Coca Cola</t>
  </si>
  <si>
    <t>FECHA MODIF</t>
  </si>
  <si>
    <t>ACEITE CAPULLO CANOLA 840ML</t>
  </si>
  <si>
    <t>0.00</t>
  </si>
  <si>
    <t>0</t>
  </si>
  <si>
    <t>01/01/1900</t>
  </si>
  <si>
    <t>ACEITUNA BUFALO DESHUESADA 175GRS</t>
  </si>
  <si>
    <t>ATUN EN AGUA ANCLA ABRE FACIL 140GRS</t>
  </si>
  <si>
    <t>AVENA 3 MINUTOS BOLSA DE 380GR</t>
  </si>
  <si>
    <t>5</t>
  </si>
  <si>
    <t>BLANQUEADOR CLORALEX RENDIDOR 2LT - CLORALEX</t>
  </si>
  <si>
    <t>6</t>
  </si>
  <si>
    <t>CALDO KNORR SUIZA 1.850KG</t>
  </si>
  <si>
    <t>7</t>
  </si>
  <si>
    <t>CHEETOS SABRITAS FLAMIN HOT 52G</t>
  </si>
  <si>
    <t>8</t>
  </si>
  <si>
    <t>CHICLE ADAMS TRIDENT YERBA 4 S NF 1PZA</t>
  </si>
  <si>
    <t>9</t>
  </si>
  <si>
    <t>CHILES HERDEZ JALAPEÑOS ENTEROS 350GR</t>
  </si>
  <si>
    <t>10</t>
  </si>
  <si>
    <t>CHOCOLATE MILKY WAY 48 G</t>
  </si>
  <si>
    <t>11</t>
  </si>
  <si>
    <t>COCA COLA LIGHT LATA DE 355 ML</t>
  </si>
  <si>
    <t>12</t>
  </si>
  <si>
    <t>COLGATE TRIPLE ACCION PASTA DENTAL 50 ML</t>
  </si>
  <si>
    <t>13</t>
  </si>
  <si>
    <t>CREMA CAMPBELLS 420 GRS CHAMPIÑONES</t>
  </si>
  <si>
    <t>20/02/2021</t>
  </si>
  <si>
    <t>546</t>
  </si>
  <si>
    <t>Efectivo</t>
  </si>
  <si>
    <t>25/02/2021</t>
  </si>
  <si>
    <t>4651</t>
  </si>
  <si>
    <t>26/02/2021</t>
  </si>
  <si>
    <t>4886</t>
  </si>
  <si>
    <t>03/03/2021</t>
  </si>
  <si>
    <t>PROVEEDOR DEL NORTE</t>
  </si>
  <si>
    <t>PDN811226PLA</t>
  </si>
  <si>
    <t>DOMICILIO DEL PROV</t>
  </si>
  <si>
    <t>51654654565</t>
  </si>
  <si>
    <t>28/02/2021</t>
  </si>
  <si>
    <t>64855</t>
  </si>
  <si>
    <t>26.50</t>
  </si>
  <si>
    <t>22.00</t>
  </si>
  <si>
    <t>14</t>
  </si>
  <si>
    <t>FRIJOLES LA SIERRA 580GRS NEGROS REFRITOS</t>
  </si>
  <si>
    <t>16.00</t>
  </si>
  <si>
    <t>COMPROBACION DE LOS DATOS CON FORMULA</t>
  </si>
  <si>
    <t>TALLA</t>
  </si>
  <si>
    <t>COLOR</t>
  </si>
  <si>
    <t>Ropa Dama</t>
  </si>
  <si>
    <t>Rojo</t>
  </si>
  <si>
    <t>15</t>
  </si>
  <si>
    <t>ABRIGO DE PATCHWORK ALTO CUELLO DE MANGA LARGA DAMA</t>
  </si>
  <si>
    <t>TIPO DE CAMBIO</t>
  </si>
  <si>
    <t>STOCK MINIMO</t>
  </si>
  <si>
    <t>MOVIMIENTO</t>
  </si>
  <si>
    <t>IMPORTE</t>
  </si>
  <si>
    <t>INICIAL</t>
  </si>
  <si>
    <t>ART</t>
  </si>
  <si>
    <t>CANT</t>
  </si>
  <si>
    <t xml:space="preserve"> TOTAL</t>
  </si>
  <si>
    <t>RECIBIDO</t>
  </si>
  <si>
    <t xml:space="preserve">!!! GRACIAS POR SU COMPRA !!! </t>
  </si>
  <si>
    <t>10/03/2021</t>
  </si>
  <si>
    <t>21.00</t>
  </si>
  <si>
    <t>23.50</t>
  </si>
  <si>
    <t>RFC: XXXX DOMILICIO: DOMICILIO DE LA TIENDA, TEL: 999999</t>
  </si>
  <si>
    <t>11/03/2021</t>
  </si>
  <si>
    <t>Blanco</t>
  </si>
  <si>
    <t>Fila</t>
  </si>
  <si>
    <t>16</t>
  </si>
  <si>
    <t>TENIS FILA NEW CAMPORA PARA MUJER</t>
  </si>
  <si>
    <t>Calzado Dama</t>
  </si>
  <si>
    <t>15/03/2021</t>
  </si>
  <si>
    <t>ZAPATERIAS CANDY SA</t>
  </si>
  <si>
    <t>ZAC101207NPA</t>
  </si>
  <si>
    <t>9154516132</t>
  </si>
  <si>
    <t>BOUTIQUE DEXTY SA</t>
  </si>
  <si>
    <t>BDE891227ANL</t>
  </si>
  <si>
    <t>5245632165</t>
  </si>
  <si>
    <t>S</t>
  </si>
  <si>
    <t>Negro</t>
  </si>
  <si>
    <t>05/03/2021</t>
  </si>
  <si>
    <t>456225</t>
  </si>
  <si>
    <t>625</t>
  </si>
  <si>
    <t>08/03/2021</t>
  </si>
  <si>
    <t>19752</t>
  </si>
  <si>
    <t>870.00</t>
  </si>
  <si>
    <t>UNIT</t>
  </si>
  <si>
    <t>13/03/2021</t>
  </si>
  <si>
    <t>17</t>
  </si>
  <si>
    <t>BOTAS DE PIEL PARA DAMA</t>
  </si>
  <si>
    <t>Ropa Hombre</t>
  </si>
  <si>
    <t>Azul</t>
  </si>
  <si>
    <t>18</t>
  </si>
  <si>
    <t>PANTALÓN STRAIGHT FIT PARA HOMBRE</t>
  </si>
  <si>
    <t>36</t>
  </si>
  <si>
    <t>CORTE</t>
  </si>
  <si>
    <t>Credito</t>
  </si>
  <si>
    <t>17/03/2021</t>
  </si>
  <si>
    <t>DESCTO</t>
  </si>
  <si>
    <t>DESCUENTO</t>
  </si>
  <si>
    <t>18/03/2021</t>
  </si>
  <si>
    <t>2863</t>
  </si>
  <si>
    <t>1,430.00</t>
  </si>
  <si>
    <t>20/03/2021</t>
  </si>
  <si>
    <t>Fecha: 20/03/2021 09:36:05 a. m. ***  Ticket No. 18</t>
  </si>
  <si>
    <t>63.00</t>
  </si>
  <si>
    <t xml:space="preserve">INVENTARIO DE PRODUCTOS AL DIA: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</si>
</sst>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Arial Narrow"/>
      <family val="2"/>
    </font>
    <font>
      <sz val="11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14" fontId="0" fillId="0" borderId="0" xfId="0" applyNumberFormat="1"/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4" fontId="0" fillId="2" borderId="1" xfId="0" applyNumberFormat="1" applyFill="1" applyBorder="1" applyAlignment="1">
      <alignment horizontal="center" vertical="center" wrapText="1"/>
    </xf>
    <xf numFmtId="4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/>
    <xf numFmtId="4" fontId="0" fillId="0" borderId="0" xfId="0" applyNumberFormat="1"/>
    <xf numFmtId="4" fontId="0" fillId="2" borderId="3" xfId="0" applyNumberFormat="1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right"/>
    </xf>
    <xf numFmtId="0" fontId="5" fillId="0" borderId="0" xfId="0" applyFont="1"/>
    <xf numFmtId="0" fontId="6" fillId="0" borderId="0" xfId="0" applyFont="1"/>
    <xf numFmtId="4" fontId="5" fillId="0" borderId="5" xfId="0" applyNumberFormat="1" applyFont="1" applyBorder="1"/>
    <xf numFmtId="4" fontId="5" fillId="0" borderId="5" xfId="0" applyNumberFormat="1" applyFont="1" applyBorder="1" applyAlignment="1">
      <alignment horizontal="right"/>
    </xf>
    <xf numFmtId="4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6" fillId="0" borderId="0" xfId="0" applyNumberFormat="1" applyFont="1"/>
    <xf numFmtId="4" fontId="6" fillId="0" borderId="0" xfId="0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4" fontId="4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164" fontId="2" fillId="0" borderId="0" xfId="0" applyNumberFormat="1" applyFont="1" applyAlignment="1">
      <alignment horizontal="center"/>
    </xf>
    <xf numFmtId="164" fontId="0" fillId="0" borderId="2" xfId="0" applyNumberFormat="1" applyBorder="1" applyAlignment="1">
      <alignment horizontal="center"/>
    </xf>
    <xf numFmtId="0" fontId="3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3457-F635-4F48-AF4F-CE5778392CE1}">
  <sheetPr codeName="Hoja1"/>
  <dimension ref="A1"/>
  <sheetViews>
    <sheetView workbookViewId="0">
      <selection activeCell="D39" sqref="D39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1E6-4A73-4CB4-81FE-1D03AA133159}">
  <sheetPr codeName="Hoja2"/>
  <dimension ref="A1"/>
  <sheetViews>
    <sheetView workbookViewId="0">
      <selection activeCell="F20" sqref="F20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26060-B594-4064-830A-2D7FF122E8DF}">
  <sheetPr codeName="Hoja6"/>
  <dimension ref="A1:L11"/>
  <sheetViews>
    <sheetView topLeftCell="B1" workbookViewId="0">
      <selection activeCell="K8" sqref="K8"/>
    </sheetView>
  </sheetViews>
  <sheetFormatPr baseColWidth="10" defaultRowHeight="15" x14ac:dyDescent="0.25"/>
  <cols>
    <col min="1" max="1" width="19" bestFit="1" customWidth="1"/>
    <col min="2" max="2" width="3" customWidth="1"/>
    <col min="3" max="3" width="21.85546875" bestFit="1" customWidth="1"/>
    <col min="4" max="4" width="3" customWidth="1"/>
    <col min="5" max="5" width="20" customWidth="1"/>
    <col min="6" max="6" width="3" customWidth="1"/>
    <col min="7" max="7" width="13.85546875" customWidth="1"/>
    <col min="8" max="8" width="3.7109375" customWidth="1"/>
    <col min="10" max="10" width="3.140625" customWidth="1"/>
    <col min="12" max="12" width="15.5703125" style="10" bestFit="1" customWidth="1"/>
  </cols>
  <sheetData>
    <row r="1" spans="1:12" x14ac:dyDescent="0.25">
      <c r="A1" s="9" t="s">
        <v>64</v>
      </c>
      <c r="C1" s="9" t="s">
        <v>65</v>
      </c>
      <c r="E1" s="9" t="s">
        <v>66</v>
      </c>
      <c r="G1" s="9" t="s">
        <v>160</v>
      </c>
      <c r="I1" s="9" t="s">
        <v>161</v>
      </c>
      <c r="K1" s="13" t="s">
        <v>19</v>
      </c>
      <c r="L1" s="14" t="s">
        <v>166</v>
      </c>
    </row>
    <row r="2" spans="1:12" x14ac:dyDescent="0.25">
      <c r="A2" t="s">
        <v>96</v>
      </c>
      <c r="C2" t="s">
        <v>94</v>
      </c>
      <c r="E2" t="s">
        <v>95</v>
      </c>
      <c r="G2">
        <v>9</v>
      </c>
      <c r="I2" t="s">
        <v>163</v>
      </c>
      <c r="K2" s="2">
        <v>44269</v>
      </c>
      <c r="L2" s="10">
        <v>19.77</v>
      </c>
    </row>
    <row r="3" spans="1:12" x14ac:dyDescent="0.25">
      <c r="A3" t="s">
        <v>97</v>
      </c>
      <c r="C3" t="s">
        <v>104</v>
      </c>
      <c r="E3" t="s">
        <v>107</v>
      </c>
      <c r="G3">
        <v>3</v>
      </c>
      <c r="I3" t="s">
        <v>181</v>
      </c>
      <c r="K3" s="2">
        <v>44270</v>
      </c>
      <c r="L3" s="10">
        <v>19.86</v>
      </c>
    </row>
    <row r="4" spans="1:12" x14ac:dyDescent="0.25">
      <c r="A4" t="s">
        <v>98</v>
      </c>
      <c r="C4" t="s">
        <v>185</v>
      </c>
      <c r="E4" t="s">
        <v>110</v>
      </c>
      <c r="G4" t="s">
        <v>193</v>
      </c>
      <c r="I4" t="s">
        <v>194</v>
      </c>
      <c r="K4" s="2">
        <v>44271</v>
      </c>
      <c r="L4" s="10">
        <v>19.91</v>
      </c>
    </row>
    <row r="5" spans="1:12" x14ac:dyDescent="0.25">
      <c r="A5" t="s">
        <v>99</v>
      </c>
      <c r="C5" t="s">
        <v>103</v>
      </c>
      <c r="E5" t="s">
        <v>113</v>
      </c>
      <c r="G5">
        <v>4</v>
      </c>
      <c r="I5" t="s">
        <v>206</v>
      </c>
      <c r="K5" s="2">
        <v>44274</v>
      </c>
      <c r="L5" s="10">
        <v>19.68</v>
      </c>
    </row>
    <row r="6" spans="1:12" x14ac:dyDescent="0.25">
      <c r="A6" t="s">
        <v>100</v>
      </c>
      <c r="C6" t="s">
        <v>111</v>
      </c>
      <c r="E6" t="s">
        <v>182</v>
      </c>
      <c r="G6">
        <v>36</v>
      </c>
      <c r="K6" s="2">
        <v>44275</v>
      </c>
      <c r="L6" s="10">
        <v>19.690000000000001</v>
      </c>
    </row>
    <row r="7" spans="1:12" x14ac:dyDescent="0.25">
      <c r="C7" t="s">
        <v>112</v>
      </c>
      <c r="E7" t="s">
        <v>106</v>
      </c>
    </row>
    <row r="8" spans="1:12" x14ac:dyDescent="0.25">
      <c r="C8" t="s">
        <v>105</v>
      </c>
      <c r="E8" t="s">
        <v>109</v>
      </c>
    </row>
    <row r="9" spans="1:12" x14ac:dyDescent="0.25">
      <c r="C9" t="s">
        <v>162</v>
      </c>
      <c r="E9" t="s">
        <v>108</v>
      </c>
    </row>
    <row r="10" spans="1:12" x14ac:dyDescent="0.25">
      <c r="C10" t="s">
        <v>205</v>
      </c>
    </row>
    <row r="11" spans="1:12" x14ac:dyDescent="0.25">
      <c r="C11" t="s">
        <v>102</v>
      </c>
    </row>
  </sheetData>
  <sheetProtection algorithmName="SHA-512" hashValue="bIUOpBtyLF/71oa9UiIq9bnl9fwrV2cqHYBUWu4tRPPQI5K7iv8/Mr3QIuNw2uWAcI0FVu2lSQqxueD+lEG9GQ==" saltValue="QxuLQB+nbz+ngbcwvxTwyA==" spinCount="100000" sheet="1" objects="1" scenarios="1"/>
  <sortState xmlns:xlrd2="http://schemas.microsoft.com/office/spreadsheetml/2017/richdata2" ref="C3:C11">
    <sortCondition ref="C3:C1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F3DB-28E9-48B3-9CDE-B932D4155168}">
  <sheetPr codeName="Hoja9"/>
  <dimension ref="A1:O19"/>
  <sheetViews>
    <sheetView workbookViewId="0">
      <selection activeCell="G11" sqref="G11"/>
    </sheetView>
  </sheetViews>
  <sheetFormatPr baseColWidth="10" defaultRowHeight="15" x14ac:dyDescent="0.25"/>
  <cols>
    <col min="3" max="3" width="40.42578125" customWidth="1"/>
    <col min="5" max="5" width="12.5703125" bestFit="1" customWidth="1"/>
  </cols>
  <sheetData>
    <row r="1" spans="1:15" ht="30" x14ac:dyDescent="0.25">
      <c r="A1" s="4" t="s">
        <v>19</v>
      </c>
      <c r="B1" s="4" t="s">
        <v>0</v>
      </c>
      <c r="C1" s="4" t="s">
        <v>74</v>
      </c>
      <c r="D1" s="5" t="s">
        <v>75</v>
      </c>
      <c r="E1" s="4" t="s">
        <v>76</v>
      </c>
      <c r="F1" s="4" t="s">
        <v>66</v>
      </c>
      <c r="G1" s="4" t="s">
        <v>77</v>
      </c>
      <c r="H1" s="4" t="s">
        <v>78</v>
      </c>
      <c r="I1" s="4" t="s">
        <v>79</v>
      </c>
      <c r="J1" s="4" t="s">
        <v>80</v>
      </c>
      <c r="K1" s="4" t="s">
        <v>81</v>
      </c>
      <c r="L1" s="4" t="s">
        <v>29</v>
      </c>
      <c r="M1" s="4" t="s">
        <v>160</v>
      </c>
      <c r="N1" s="4" t="s">
        <v>161</v>
      </c>
      <c r="O1" s="4" t="s">
        <v>167</v>
      </c>
    </row>
    <row r="2" spans="1:15" x14ac:dyDescent="0.25">
      <c r="A2" s="2">
        <v>44265</v>
      </c>
      <c r="B2" t="s">
        <v>40</v>
      </c>
      <c r="C2" t="s">
        <v>115</v>
      </c>
      <c r="D2" t="s">
        <v>154</v>
      </c>
      <c r="E2" t="s">
        <v>94</v>
      </c>
      <c r="F2" t="s">
        <v>95</v>
      </c>
      <c r="G2">
        <v>0</v>
      </c>
      <c r="H2" t="s">
        <v>117</v>
      </c>
      <c r="I2" t="s">
        <v>117</v>
      </c>
      <c r="J2" t="s">
        <v>118</v>
      </c>
      <c r="K2" t="s">
        <v>118</v>
      </c>
      <c r="L2" t="s">
        <v>31</v>
      </c>
      <c r="M2" t="s">
        <v>47</v>
      </c>
      <c r="N2" t="s">
        <v>47</v>
      </c>
      <c r="O2" t="s">
        <v>122</v>
      </c>
    </row>
    <row r="3" spans="1:15" x14ac:dyDescent="0.25">
      <c r="A3" s="2">
        <v>44265</v>
      </c>
      <c r="B3" t="s">
        <v>48</v>
      </c>
      <c r="C3" t="s">
        <v>119</v>
      </c>
      <c r="D3" t="s">
        <v>155</v>
      </c>
      <c r="E3" t="s">
        <v>94</v>
      </c>
      <c r="F3" t="s">
        <v>95</v>
      </c>
      <c r="G3">
        <v>0</v>
      </c>
      <c r="H3" t="s">
        <v>117</v>
      </c>
      <c r="I3" t="s">
        <v>117</v>
      </c>
      <c r="J3" t="s">
        <v>118</v>
      </c>
      <c r="K3" t="s">
        <v>118</v>
      </c>
      <c r="L3" t="s">
        <v>31</v>
      </c>
      <c r="M3" t="s">
        <v>47</v>
      </c>
      <c r="N3" t="s">
        <v>47</v>
      </c>
      <c r="O3" t="s">
        <v>55</v>
      </c>
    </row>
    <row r="4" spans="1:15" x14ac:dyDescent="0.25">
      <c r="A4" s="2">
        <v>44265</v>
      </c>
      <c r="B4" t="s">
        <v>55</v>
      </c>
      <c r="C4" t="s">
        <v>120</v>
      </c>
      <c r="D4" t="s">
        <v>177</v>
      </c>
      <c r="E4" t="s">
        <v>94</v>
      </c>
      <c r="F4" t="s">
        <v>95</v>
      </c>
      <c r="G4">
        <v>20</v>
      </c>
      <c r="H4" t="s">
        <v>55</v>
      </c>
      <c r="I4" t="s">
        <v>117</v>
      </c>
      <c r="J4" t="s">
        <v>118</v>
      </c>
      <c r="K4" t="s">
        <v>118</v>
      </c>
      <c r="L4" t="s">
        <v>31</v>
      </c>
      <c r="M4" t="s">
        <v>47</v>
      </c>
      <c r="N4" t="s">
        <v>47</v>
      </c>
      <c r="O4" t="s">
        <v>55</v>
      </c>
    </row>
    <row r="5" spans="1:15" x14ac:dyDescent="0.25">
      <c r="A5" s="2">
        <v>44267</v>
      </c>
      <c r="B5" t="s">
        <v>58</v>
      </c>
      <c r="C5" t="s">
        <v>121</v>
      </c>
      <c r="D5" t="s">
        <v>155</v>
      </c>
      <c r="E5" t="s">
        <v>94</v>
      </c>
      <c r="F5" t="s">
        <v>95</v>
      </c>
      <c r="G5">
        <v>21</v>
      </c>
      <c r="H5" t="s">
        <v>55</v>
      </c>
      <c r="I5" t="s">
        <v>117</v>
      </c>
      <c r="J5" t="s">
        <v>118</v>
      </c>
      <c r="K5" t="s">
        <v>118</v>
      </c>
      <c r="L5" t="s">
        <v>31</v>
      </c>
      <c r="M5" t="s">
        <v>47</v>
      </c>
      <c r="N5" t="s">
        <v>47</v>
      </c>
      <c r="O5" t="s">
        <v>55</v>
      </c>
    </row>
    <row r="6" spans="1:15" x14ac:dyDescent="0.25">
      <c r="A6" s="2">
        <v>44265</v>
      </c>
      <c r="B6" t="s">
        <v>122</v>
      </c>
      <c r="C6" t="s">
        <v>123</v>
      </c>
      <c r="D6" t="s">
        <v>178</v>
      </c>
      <c r="E6" t="s">
        <v>94</v>
      </c>
      <c r="F6" t="s">
        <v>95</v>
      </c>
      <c r="G6">
        <v>0</v>
      </c>
      <c r="H6" t="s">
        <v>117</v>
      </c>
      <c r="I6" t="s">
        <v>117</v>
      </c>
      <c r="J6" t="s">
        <v>118</v>
      </c>
      <c r="K6" t="s">
        <v>118</v>
      </c>
      <c r="L6" t="s">
        <v>31</v>
      </c>
      <c r="M6" t="s">
        <v>47</v>
      </c>
      <c r="N6" t="s">
        <v>47</v>
      </c>
      <c r="O6" t="s">
        <v>55</v>
      </c>
    </row>
    <row r="7" spans="1:15" x14ac:dyDescent="0.25">
      <c r="A7" s="2">
        <v>44258</v>
      </c>
      <c r="B7" t="s">
        <v>124</v>
      </c>
      <c r="C7" t="s">
        <v>125</v>
      </c>
      <c r="D7" t="s">
        <v>116</v>
      </c>
      <c r="E7" t="s">
        <v>94</v>
      </c>
      <c r="F7" t="s">
        <v>95</v>
      </c>
      <c r="G7" t="s">
        <v>116</v>
      </c>
      <c r="H7" t="s">
        <v>117</v>
      </c>
      <c r="I7" t="s">
        <v>117</v>
      </c>
      <c r="J7" t="s">
        <v>118</v>
      </c>
      <c r="K7" t="s">
        <v>118</v>
      </c>
      <c r="L7" t="s">
        <v>31</v>
      </c>
    </row>
    <row r="8" spans="1:15" x14ac:dyDescent="0.25">
      <c r="A8" s="2">
        <v>44258</v>
      </c>
      <c r="B8" t="s">
        <v>126</v>
      </c>
      <c r="C8" t="s">
        <v>127</v>
      </c>
      <c r="D8" t="s">
        <v>116</v>
      </c>
      <c r="E8" t="s">
        <v>94</v>
      </c>
      <c r="F8" t="s">
        <v>95</v>
      </c>
      <c r="G8" t="s">
        <v>116</v>
      </c>
      <c r="H8" t="s">
        <v>117</v>
      </c>
      <c r="I8" t="s">
        <v>117</v>
      </c>
      <c r="J8" t="s">
        <v>118</v>
      </c>
      <c r="K8" t="s">
        <v>118</v>
      </c>
      <c r="L8" t="s">
        <v>31</v>
      </c>
    </row>
    <row r="9" spans="1:15" x14ac:dyDescent="0.25">
      <c r="A9" s="2">
        <v>44258</v>
      </c>
      <c r="B9" t="s">
        <v>128</v>
      </c>
      <c r="C9" t="s">
        <v>129</v>
      </c>
      <c r="D9" t="s">
        <v>116</v>
      </c>
      <c r="E9" t="s">
        <v>94</v>
      </c>
      <c r="F9" t="s">
        <v>95</v>
      </c>
      <c r="G9" t="s">
        <v>116</v>
      </c>
      <c r="H9" t="s">
        <v>117</v>
      </c>
      <c r="I9" t="s">
        <v>117</v>
      </c>
      <c r="J9" t="s">
        <v>118</v>
      </c>
      <c r="K9" t="s">
        <v>118</v>
      </c>
      <c r="L9" t="s">
        <v>31</v>
      </c>
    </row>
    <row r="10" spans="1:15" x14ac:dyDescent="0.25">
      <c r="A10" s="2">
        <v>44258</v>
      </c>
      <c r="B10" t="s">
        <v>130</v>
      </c>
      <c r="C10" t="s">
        <v>131</v>
      </c>
      <c r="D10" t="s">
        <v>116</v>
      </c>
      <c r="E10" t="s">
        <v>94</v>
      </c>
      <c r="F10" t="s">
        <v>95</v>
      </c>
      <c r="G10" t="s">
        <v>116</v>
      </c>
      <c r="H10" t="s">
        <v>117</v>
      </c>
      <c r="I10" t="s">
        <v>117</v>
      </c>
      <c r="J10" t="s">
        <v>118</v>
      </c>
      <c r="K10" t="s">
        <v>118</v>
      </c>
      <c r="L10" t="s">
        <v>31</v>
      </c>
    </row>
    <row r="11" spans="1:15" x14ac:dyDescent="0.25">
      <c r="A11" s="2">
        <v>44258</v>
      </c>
      <c r="B11" t="s">
        <v>132</v>
      </c>
      <c r="C11" t="s">
        <v>133</v>
      </c>
      <c r="D11" t="s">
        <v>116</v>
      </c>
      <c r="E11" t="s">
        <v>94</v>
      </c>
      <c r="F11" t="s">
        <v>95</v>
      </c>
      <c r="G11" t="s">
        <v>116</v>
      </c>
      <c r="H11" t="s">
        <v>117</v>
      </c>
      <c r="I11" t="s">
        <v>117</v>
      </c>
      <c r="J11" t="s">
        <v>118</v>
      </c>
      <c r="K11" t="s">
        <v>118</v>
      </c>
      <c r="L11" t="s">
        <v>31</v>
      </c>
    </row>
    <row r="12" spans="1:15" x14ac:dyDescent="0.25">
      <c r="A12" s="2">
        <v>44258</v>
      </c>
      <c r="B12" t="s">
        <v>134</v>
      </c>
      <c r="C12" t="s">
        <v>135</v>
      </c>
      <c r="D12" t="s">
        <v>116</v>
      </c>
      <c r="E12" t="s">
        <v>94</v>
      </c>
      <c r="F12" t="s">
        <v>95</v>
      </c>
      <c r="G12" t="s">
        <v>116</v>
      </c>
      <c r="H12" t="s">
        <v>117</v>
      </c>
      <c r="I12" t="s">
        <v>117</v>
      </c>
      <c r="J12" t="s">
        <v>118</v>
      </c>
      <c r="K12" t="s">
        <v>118</v>
      </c>
      <c r="L12" t="s">
        <v>31</v>
      </c>
    </row>
    <row r="13" spans="1:15" x14ac:dyDescent="0.25">
      <c r="A13" s="2">
        <v>44258</v>
      </c>
      <c r="B13" t="s">
        <v>136</v>
      </c>
      <c r="C13" t="s">
        <v>137</v>
      </c>
      <c r="D13" t="s">
        <v>116</v>
      </c>
      <c r="E13" t="s">
        <v>94</v>
      </c>
      <c r="F13" t="s">
        <v>95</v>
      </c>
      <c r="G13" t="s">
        <v>116</v>
      </c>
      <c r="H13" t="s">
        <v>117</v>
      </c>
      <c r="I13" t="s">
        <v>117</v>
      </c>
      <c r="J13" t="s">
        <v>118</v>
      </c>
      <c r="K13" t="s">
        <v>118</v>
      </c>
      <c r="L13" t="s">
        <v>31</v>
      </c>
    </row>
    <row r="14" spans="1:15" x14ac:dyDescent="0.25">
      <c r="A14" s="2">
        <v>44258</v>
      </c>
      <c r="B14" t="s">
        <v>138</v>
      </c>
      <c r="C14" t="s">
        <v>139</v>
      </c>
      <c r="D14" t="s">
        <v>116</v>
      </c>
      <c r="E14" t="s">
        <v>94</v>
      </c>
      <c r="F14" t="s">
        <v>95</v>
      </c>
      <c r="G14" t="s">
        <v>116</v>
      </c>
      <c r="H14" t="s">
        <v>117</v>
      </c>
      <c r="I14" t="s">
        <v>117</v>
      </c>
      <c r="J14" t="s">
        <v>118</v>
      </c>
      <c r="K14" t="s">
        <v>118</v>
      </c>
      <c r="L14" t="s">
        <v>31</v>
      </c>
    </row>
    <row r="15" spans="1:15" x14ac:dyDescent="0.25">
      <c r="A15" s="2">
        <v>44259</v>
      </c>
      <c r="B15" t="s">
        <v>156</v>
      </c>
      <c r="C15" t="s">
        <v>157</v>
      </c>
      <c r="D15" t="s">
        <v>116</v>
      </c>
      <c r="E15" t="s">
        <v>94</v>
      </c>
      <c r="F15" t="s">
        <v>95</v>
      </c>
      <c r="G15" t="s">
        <v>116</v>
      </c>
      <c r="H15" t="s">
        <v>117</v>
      </c>
      <c r="I15" t="s">
        <v>117</v>
      </c>
      <c r="J15" t="s">
        <v>118</v>
      </c>
      <c r="K15" t="s">
        <v>118</v>
      </c>
      <c r="L15" t="s">
        <v>31</v>
      </c>
    </row>
    <row r="16" spans="1:15" x14ac:dyDescent="0.25">
      <c r="A16" s="2">
        <v>44266</v>
      </c>
      <c r="B16" t="s">
        <v>164</v>
      </c>
      <c r="C16" t="s">
        <v>165</v>
      </c>
      <c r="D16" t="s">
        <v>197</v>
      </c>
      <c r="E16" t="s">
        <v>162</v>
      </c>
      <c r="F16" t="s">
        <v>95</v>
      </c>
      <c r="G16">
        <v>0</v>
      </c>
      <c r="H16" t="s">
        <v>117</v>
      </c>
      <c r="I16" t="s">
        <v>117</v>
      </c>
      <c r="J16" t="s">
        <v>118</v>
      </c>
      <c r="K16" t="s">
        <v>118</v>
      </c>
      <c r="L16" t="s">
        <v>31</v>
      </c>
      <c r="M16" t="s">
        <v>193</v>
      </c>
      <c r="N16" t="s">
        <v>194</v>
      </c>
      <c r="O16" t="s">
        <v>40</v>
      </c>
    </row>
    <row r="17" spans="1:15" x14ac:dyDescent="0.25">
      <c r="A17" s="2">
        <v>44266</v>
      </c>
      <c r="B17" t="s">
        <v>183</v>
      </c>
      <c r="C17" t="s">
        <v>184</v>
      </c>
      <c r="D17" t="s">
        <v>200</v>
      </c>
      <c r="E17" t="s">
        <v>185</v>
      </c>
      <c r="F17" t="s">
        <v>182</v>
      </c>
      <c r="G17">
        <v>0</v>
      </c>
      <c r="H17" t="s">
        <v>117</v>
      </c>
      <c r="I17" t="s">
        <v>132</v>
      </c>
      <c r="J17" t="s">
        <v>180</v>
      </c>
      <c r="K17" t="s">
        <v>186</v>
      </c>
      <c r="L17" t="s">
        <v>31</v>
      </c>
      <c r="M17" t="s">
        <v>55</v>
      </c>
      <c r="N17" t="s">
        <v>181</v>
      </c>
      <c r="O17" t="s">
        <v>55</v>
      </c>
    </row>
    <row r="18" spans="1:15" x14ac:dyDescent="0.25">
      <c r="A18" s="2">
        <v>44273</v>
      </c>
      <c r="B18" t="s">
        <v>203</v>
      </c>
      <c r="C18" t="s">
        <v>204</v>
      </c>
      <c r="D18" t="s">
        <v>217</v>
      </c>
      <c r="E18" t="s">
        <v>185</v>
      </c>
      <c r="F18" t="s">
        <v>95</v>
      </c>
      <c r="G18">
        <v>0</v>
      </c>
      <c r="H18" t="s">
        <v>117</v>
      </c>
      <c r="I18" t="s">
        <v>117</v>
      </c>
      <c r="J18" t="s">
        <v>118</v>
      </c>
      <c r="K18" t="s">
        <v>118</v>
      </c>
      <c r="L18" t="s">
        <v>31</v>
      </c>
      <c r="M18" t="s">
        <v>58</v>
      </c>
      <c r="N18" t="s">
        <v>194</v>
      </c>
      <c r="O18" t="s">
        <v>40</v>
      </c>
    </row>
    <row r="19" spans="1:15" x14ac:dyDescent="0.25">
      <c r="A19" s="2">
        <v>44268</v>
      </c>
      <c r="B19" t="s">
        <v>207</v>
      </c>
      <c r="C19" t="s">
        <v>208</v>
      </c>
      <c r="D19" t="s">
        <v>116</v>
      </c>
      <c r="E19" t="s">
        <v>205</v>
      </c>
      <c r="F19" t="s">
        <v>95</v>
      </c>
      <c r="G19" t="s">
        <v>116</v>
      </c>
      <c r="H19" t="s">
        <v>117</v>
      </c>
      <c r="I19" t="s">
        <v>117</v>
      </c>
      <c r="J19" t="s">
        <v>118</v>
      </c>
      <c r="K19" t="s">
        <v>118</v>
      </c>
      <c r="L19" t="s">
        <v>31</v>
      </c>
      <c r="M19" t="s">
        <v>209</v>
      </c>
      <c r="N19" t="s">
        <v>206</v>
      </c>
      <c r="O19" t="s">
        <v>40</v>
      </c>
    </row>
  </sheetData>
  <sheetProtection algorithmName="SHA-512" hashValue="RGXrt1/NN/t7Q7nvC9GRXTzqDHtUzEVQdCSaG9iA2oac2sWRUyY4Zg82tktxey8u/OnWQqE3qHa1xLXQTzw6sQ==" saltValue="F78eDni9zlMfRWL1Kto2o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8529F-6091-4E2D-8548-719B327B377F}">
  <sheetPr codeName="Hoja13"/>
  <dimension ref="A1:D20"/>
  <sheetViews>
    <sheetView workbookViewId="0">
      <selection activeCell="D16" sqref="D16"/>
    </sheetView>
  </sheetViews>
  <sheetFormatPr baseColWidth="10" defaultRowHeight="15" x14ac:dyDescent="0.25"/>
  <cols>
    <col min="3" max="3" width="39.28515625" customWidth="1"/>
  </cols>
  <sheetData>
    <row r="1" spans="1:4" ht="30" x14ac:dyDescent="0.25">
      <c r="A1" s="4" t="s">
        <v>114</v>
      </c>
      <c r="B1" s="4" t="s">
        <v>0</v>
      </c>
      <c r="C1" s="4" t="s">
        <v>74</v>
      </c>
      <c r="D1" s="5" t="s">
        <v>75</v>
      </c>
    </row>
    <row r="2" spans="1:4" x14ac:dyDescent="0.25">
      <c r="A2" s="2">
        <v>44265</v>
      </c>
      <c r="B2" t="s">
        <v>40</v>
      </c>
      <c r="C2" t="s">
        <v>115</v>
      </c>
      <c r="D2" t="s">
        <v>154</v>
      </c>
    </row>
    <row r="3" spans="1:4" x14ac:dyDescent="0.25">
      <c r="A3" s="2">
        <v>44259</v>
      </c>
      <c r="B3" t="s">
        <v>48</v>
      </c>
      <c r="C3" t="s">
        <v>119</v>
      </c>
      <c r="D3" t="s">
        <v>158</v>
      </c>
    </row>
    <row r="4" spans="1:4" x14ac:dyDescent="0.25">
      <c r="A4" s="2">
        <v>44265</v>
      </c>
      <c r="B4" t="s">
        <v>55</v>
      </c>
      <c r="C4" t="s">
        <v>120</v>
      </c>
      <c r="D4" t="s">
        <v>177</v>
      </c>
    </row>
    <row r="5" spans="1:4" x14ac:dyDescent="0.25">
      <c r="A5" s="2">
        <v>44265</v>
      </c>
      <c r="B5" t="s">
        <v>58</v>
      </c>
      <c r="C5" t="s">
        <v>121</v>
      </c>
      <c r="D5" t="s">
        <v>155</v>
      </c>
    </row>
    <row r="6" spans="1:4" x14ac:dyDescent="0.25">
      <c r="A6" s="2">
        <v>44258</v>
      </c>
      <c r="B6" t="s">
        <v>122</v>
      </c>
      <c r="C6" t="s">
        <v>123</v>
      </c>
      <c r="D6" t="s">
        <v>116</v>
      </c>
    </row>
    <row r="7" spans="1:4" x14ac:dyDescent="0.25">
      <c r="A7" s="2">
        <v>44258</v>
      </c>
      <c r="B7" t="s">
        <v>124</v>
      </c>
      <c r="C7" t="s">
        <v>125</v>
      </c>
      <c r="D7" t="s">
        <v>116</v>
      </c>
    </row>
    <row r="8" spans="1:4" x14ac:dyDescent="0.25">
      <c r="A8" s="2">
        <v>44258</v>
      </c>
      <c r="B8" t="s">
        <v>126</v>
      </c>
      <c r="C8" t="s">
        <v>127</v>
      </c>
      <c r="D8" t="s">
        <v>116</v>
      </c>
    </row>
    <row r="9" spans="1:4" x14ac:dyDescent="0.25">
      <c r="A9" s="2">
        <v>44258</v>
      </c>
      <c r="B9" t="s">
        <v>128</v>
      </c>
      <c r="C9" t="s">
        <v>129</v>
      </c>
      <c r="D9" t="s">
        <v>116</v>
      </c>
    </row>
    <row r="10" spans="1:4" x14ac:dyDescent="0.25">
      <c r="A10" s="2">
        <v>44258</v>
      </c>
      <c r="B10" t="s">
        <v>130</v>
      </c>
      <c r="C10" t="s">
        <v>131</v>
      </c>
      <c r="D10" t="s">
        <v>116</v>
      </c>
    </row>
    <row r="11" spans="1:4" x14ac:dyDescent="0.25">
      <c r="A11" s="2">
        <v>44258</v>
      </c>
      <c r="B11" t="s">
        <v>132</v>
      </c>
      <c r="C11" t="s">
        <v>133</v>
      </c>
      <c r="D11" t="s">
        <v>116</v>
      </c>
    </row>
    <row r="12" spans="1:4" x14ac:dyDescent="0.25">
      <c r="A12" s="2">
        <v>44258</v>
      </c>
      <c r="B12" t="s">
        <v>134</v>
      </c>
      <c r="C12" t="s">
        <v>135</v>
      </c>
      <c r="D12" t="s">
        <v>116</v>
      </c>
    </row>
    <row r="13" spans="1:4" x14ac:dyDescent="0.25">
      <c r="A13" s="2">
        <v>44258</v>
      </c>
      <c r="B13" t="s">
        <v>136</v>
      </c>
      <c r="C13" t="s">
        <v>137</v>
      </c>
      <c r="D13" t="s">
        <v>116</v>
      </c>
    </row>
    <row r="14" spans="1:4" x14ac:dyDescent="0.25">
      <c r="A14" s="2">
        <v>44258</v>
      </c>
      <c r="B14" t="s">
        <v>138</v>
      </c>
      <c r="C14" t="s">
        <v>139</v>
      </c>
      <c r="D14" t="s">
        <v>116</v>
      </c>
    </row>
    <row r="15" spans="1:4" x14ac:dyDescent="0.25">
      <c r="A15" s="2">
        <v>44259</v>
      </c>
      <c r="B15" t="s">
        <v>156</v>
      </c>
      <c r="C15" t="s">
        <v>157</v>
      </c>
      <c r="D15" t="s">
        <v>116</v>
      </c>
    </row>
    <row r="16" spans="1:4" x14ac:dyDescent="0.25">
      <c r="A16" s="2">
        <v>44259</v>
      </c>
      <c r="B16" t="s">
        <v>48</v>
      </c>
      <c r="C16" t="s">
        <v>119</v>
      </c>
      <c r="D16" t="s">
        <v>155</v>
      </c>
    </row>
    <row r="17" spans="1:4" x14ac:dyDescent="0.25">
      <c r="A17" s="2">
        <v>44265</v>
      </c>
      <c r="B17" t="s">
        <v>48</v>
      </c>
      <c r="C17" t="s">
        <v>119</v>
      </c>
      <c r="D17" t="s">
        <v>155</v>
      </c>
    </row>
    <row r="18" spans="1:4" x14ac:dyDescent="0.25">
      <c r="A18" s="2">
        <v>44266</v>
      </c>
      <c r="B18" t="s">
        <v>183</v>
      </c>
      <c r="C18" t="s">
        <v>184</v>
      </c>
      <c r="D18" t="s">
        <v>116</v>
      </c>
    </row>
    <row r="19" spans="1:4" x14ac:dyDescent="0.25">
      <c r="A19" s="2">
        <v>44268</v>
      </c>
      <c r="B19" t="s">
        <v>203</v>
      </c>
      <c r="C19" t="s">
        <v>204</v>
      </c>
      <c r="D19" t="s">
        <v>116</v>
      </c>
    </row>
    <row r="20" spans="1:4" x14ac:dyDescent="0.25">
      <c r="A20" s="2">
        <v>44268</v>
      </c>
      <c r="B20" t="s">
        <v>207</v>
      </c>
      <c r="C20" t="s">
        <v>208</v>
      </c>
      <c r="D20" t="s">
        <v>116</v>
      </c>
    </row>
  </sheetData>
  <sheetProtection algorithmName="SHA-512" hashValue="9W8ZpIzh/7GXHDp5LgWHt5lDfASvzb8x7MSwLlJMphUfJagHYhVZpu/y05QKpsTKsHxCMTa9hVKcd5QaPNIYNw==" saltValue="LME8cPkU9KDlK0TlVwJHs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B74B-6918-4168-BCBA-C360BDFDF2E1}">
  <sheetPr codeName="Hoja7"/>
  <dimension ref="A1:E8"/>
  <sheetViews>
    <sheetView workbookViewId="0">
      <selection activeCell="A2" sqref="A2:XFD2"/>
    </sheetView>
  </sheetViews>
  <sheetFormatPr baseColWidth="10" defaultRowHeight="15" x14ac:dyDescent="0.25"/>
  <cols>
    <col min="1" max="1" width="15" bestFit="1" customWidth="1"/>
    <col min="2" max="2" width="16.7109375" bestFit="1" customWidth="1"/>
    <col min="4" max="4" width="21.7109375" customWidth="1"/>
    <col min="5" max="5" width="15.85546875" bestFit="1" customWidth="1"/>
  </cols>
  <sheetData>
    <row r="1" spans="1:5" x14ac:dyDescent="0.25">
      <c r="A1" s="1" t="s">
        <v>68</v>
      </c>
      <c r="B1" s="1" t="s">
        <v>69</v>
      </c>
      <c r="C1" s="1" t="s">
        <v>70</v>
      </c>
      <c r="D1" s="1" t="s">
        <v>41</v>
      </c>
      <c r="E1" s="1" t="s">
        <v>71</v>
      </c>
    </row>
    <row r="2" spans="1:5" x14ac:dyDescent="0.25">
      <c r="A2" t="s">
        <v>140</v>
      </c>
      <c r="B2" t="s">
        <v>141</v>
      </c>
      <c r="C2" s="10">
        <v>1455</v>
      </c>
      <c r="D2" t="s">
        <v>59</v>
      </c>
      <c r="E2" t="s">
        <v>142</v>
      </c>
    </row>
    <row r="3" spans="1:5" x14ac:dyDescent="0.25">
      <c r="A3" t="s">
        <v>143</v>
      </c>
      <c r="B3" t="s">
        <v>144</v>
      </c>
      <c r="C3">
        <v>617.5</v>
      </c>
      <c r="D3" t="s">
        <v>59</v>
      </c>
      <c r="E3" t="s">
        <v>142</v>
      </c>
    </row>
    <row r="4" spans="1:5" x14ac:dyDescent="0.25">
      <c r="A4" t="s">
        <v>145</v>
      </c>
      <c r="B4" t="s">
        <v>146</v>
      </c>
      <c r="C4">
        <v>376</v>
      </c>
      <c r="D4" t="s">
        <v>59</v>
      </c>
      <c r="E4" t="s">
        <v>142</v>
      </c>
    </row>
    <row r="5" spans="1:5" x14ac:dyDescent="0.25">
      <c r="A5" t="s">
        <v>152</v>
      </c>
      <c r="B5" t="s">
        <v>153</v>
      </c>
      <c r="C5">
        <v>600</v>
      </c>
      <c r="D5" t="s">
        <v>148</v>
      </c>
      <c r="E5" t="s">
        <v>142</v>
      </c>
    </row>
    <row r="6" spans="1:5" x14ac:dyDescent="0.25">
      <c r="A6" t="s">
        <v>195</v>
      </c>
      <c r="B6" t="s">
        <v>196</v>
      </c>
      <c r="C6" s="10">
        <v>1350</v>
      </c>
      <c r="D6" t="s">
        <v>190</v>
      </c>
      <c r="E6" t="s">
        <v>142</v>
      </c>
    </row>
    <row r="7" spans="1:5" x14ac:dyDescent="0.25">
      <c r="A7" t="s">
        <v>198</v>
      </c>
      <c r="B7" t="s">
        <v>199</v>
      </c>
      <c r="C7" s="10">
        <v>3100</v>
      </c>
      <c r="D7" t="s">
        <v>187</v>
      </c>
      <c r="E7" t="s">
        <v>142</v>
      </c>
    </row>
    <row r="8" spans="1:5" x14ac:dyDescent="0.25">
      <c r="A8" t="s">
        <v>176</v>
      </c>
      <c r="B8" t="s">
        <v>216</v>
      </c>
      <c r="C8" s="10">
        <v>16750</v>
      </c>
      <c r="D8" t="s">
        <v>187</v>
      </c>
      <c r="E8" t="s">
        <v>142</v>
      </c>
    </row>
  </sheetData>
  <sheetProtection algorithmName="SHA-512" hashValue="zPWj6WbHyOEZPVxB5opqjf/P9UrQ6boM2Mh6FjbOIR9t3NUricV3Jy3WAG50diroKAjKpUxYWeZYvwMhgWP4gA==" saltValue="hMkrXGQ85b9CGzIdvMqrdQ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0D914-AF49-4227-8A8A-3ACB9F415AF8}">
  <sheetPr codeName="Hoja8"/>
  <dimension ref="A3:G18"/>
  <sheetViews>
    <sheetView workbookViewId="0">
      <selection activeCell="D17" sqref="D17"/>
    </sheetView>
  </sheetViews>
  <sheetFormatPr baseColWidth="10" defaultRowHeight="15" x14ac:dyDescent="0.25"/>
  <cols>
    <col min="1" max="1" width="15.7109375" customWidth="1"/>
    <col min="4" max="4" width="26.42578125" customWidth="1"/>
    <col min="5" max="5" width="9" customWidth="1"/>
  </cols>
  <sheetData>
    <row r="3" spans="1:7" ht="31.5" customHeight="1" x14ac:dyDescent="0.25">
      <c r="A3" s="4" t="s">
        <v>68</v>
      </c>
      <c r="B3" s="4" t="s">
        <v>69</v>
      </c>
      <c r="C3" s="4" t="s">
        <v>0</v>
      </c>
      <c r="D3" s="4" t="s">
        <v>67</v>
      </c>
      <c r="E3" s="4" t="s">
        <v>72</v>
      </c>
      <c r="F3" s="4" t="s">
        <v>73</v>
      </c>
      <c r="G3" s="4" t="s">
        <v>70</v>
      </c>
    </row>
    <row r="4" spans="1:7" x14ac:dyDescent="0.25">
      <c r="A4" t="s">
        <v>140</v>
      </c>
      <c r="B4" t="s">
        <v>141</v>
      </c>
      <c r="C4">
        <v>1</v>
      </c>
      <c r="D4" t="s">
        <v>115</v>
      </c>
      <c r="E4">
        <v>10</v>
      </c>
      <c r="F4">
        <v>22</v>
      </c>
      <c r="G4">
        <v>220</v>
      </c>
    </row>
    <row r="5" spans="1:7" x14ac:dyDescent="0.25">
      <c r="A5" t="s">
        <v>140</v>
      </c>
      <c r="B5" t="s">
        <v>141</v>
      </c>
      <c r="C5">
        <v>2</v>
      </c>
      <c r="D5" t="s">
        <v>119</v>
      </c>
      <c r="E5">
        <v>15</v>
      </c>
      <c r="F5">
        <v>14.5</v>
      </c>
      <c r="G5">
        <v>217.5</v>
      </c>
    </row>
    <row r="6" spans="1:7" x14ac:dyDescent="0.25">
      <c r="A6" t="s">
        <v>140</v>
      </c>
      <c r="B6" t="s">
        <v>141</v>
      </c>
      <c r="C6">
        <v>3</v>
      </c>
      <c r="D6" t="s">
        <v>120</v>
      </c>
      <c r="E6">
        <v>20</v>
      </c>
      <c r="F6">
        <v>16</v>
      </c>
      <c r="G6">
        <v>320</v>
      </c>
    </row>
    <row r="7" spans="1:7" x14ac:dyDescent="0.25">
      <c r="A7" t="s">
        <v>140</v>
      </c>
      <c r="B7" t="s">
        <v>141</v>
      </c>
      <c r="C7">
        <v>13</v>
      </c>
      <c r="D7" t="s">
        <v>139</v>
      </c>
      <c r="E7">
        <v>20</v>
      </c>
      <c r="F7">
        <v>18</v>
      </c>
      <c r="G7">
        <v>360</v>
      </c>
    </row>
    <row r="8" spans="1:7" x14ac:dyDescent="0.25">
      <c r="A8" t="s">
        <v>140</v>
      </c>
      <c r="B8" t="s">
        <v>141</v>
      </c>
      <c r="C8">
        <v>11</v>
      </c>
      <c r="D8" t="s">
        <v>135</v>
      </c>
      <c r="E8">
        <v>25</v>
      </c>
      <c r="F8">
        <v>13.5</v>
      </c>
      <c r="G8">
        <v>337.5</v>
      </c>
    </row>
    <row r="9" spans="1:7" x14ac:dyDescent="0.25">
      <c r="A9" t="s">
        <v>143</v>
      </c>
      <c r="B9" t="s">
        <v>144</v>
      </c>
      <c r="C9">
        <v>2</v>
      </c>
      <c r="D9" t="s">
        <v>119</v>
      </c>
      <c r="E9">
        <v>20</v>
      </c>
      <c r="F9">
        <v>17</v>
      </c>
      <c r="G9">
        <v>340</v>
      </c>
    </row>
    <row r="10" spans="1:7" x14ac:dyDescent="0.25">
      <c r="A10" t="s">
        <v>143</v>
      </c>
      <c r="B10" t="s">
        <v>144</v>
      </c>
      <c r="C10">
        <v>4</v>
      </c>
      <c r="D10" t="s">
        <v>121</v>
      </c>
      <c r="E10">
        <v>15</v>
      </c>
      <c r="F10">
        <v>18.5</v>
      </c>
      <c r="G10">
        <v>277.5</v>
      </c>
    </row>
    <row r="11" spans="1:7" x14ac:dyDescent="0.25">
      <c r="A11" t="s">
        <v>145</v>
      </c>
      <c r="B11" t="s">
        <v>146</v>
      </c>
      <c r="C11">
        <v>5</v>
      </c>
      <c r="D11" t="s">
        <v>123</v>
      </c>
      <c r="E11">
        <v>8</v>
      </c>
      <c r="F11">
        <v>17</v>
      </c>
      <c r="G11">
        <v>136</v>
      </c>
    </row>
    <row r="12" spans="1:7" x14ac:dyDescent="0.25">
      <c r="A12" t="s">
        <v>145</v>
      </c>
      <c r="B12" t="s">
        <v>146</v>
      </c>
      <c r="C12">
        <v>6</v>
      </c>
      <c r="D12" t="s">
        <v>125</v>
      </c>
      <c r="E12">
        <v>20</v>
      </c>
      <c r="F12">
        <v>12</v>
      </c>
      <c r="G12">
        <v>240</v>
      </c>
    </row>
    <row r="13" spans="1:7" x14ac:dyDescent="0.25">
      <c r="A13" t="s">
        <v>152</v>
      </c>
      <c r="B13" t="s">
        <v>153</v>
      </c>
      <c r="C13">
        <v>10</v>
      </c>
      <c r="D13" t="s">
        <v>133</v>
      </c>
      <c r="E13">
        <v>30</v>
      </c>
      <c r="F13">
        <v>11.5</v>
      </c>
      <c r="G13">
        <v>345</v>
      </c>
    </row>
    <row r="14" spans="1:7" x14ac:dyDescent="0.25">
      <c r="A14" t="s">
        <v>152</v>
      </c>
      <c r="B14" t="s">
        <v>153</v>
      </c>
      <c r="C14">
        <v>9</v>
      </c>
      <c r="D14" t="s">
        <v>131</v>
      </c>
      <c r="E14">
        <v>15</v>
      </c>
      <c r="F14">
        <v>17</v>
      </c>
      <c r="G14">
        <v>255</v>
      </c>
    </row>
    <row r="15" spans="1:7" x14ac:dyDescent="0.25">
      <c r="A15" t="s">
        <v>195</v>
      </c>
      <c r="B15" t="s">
        <v>196</v>
      </c>
      <c r="C15">
        <v>15</v>
      </c>
      <c r="D15" t="s">
        <v>165</v>
      </c>
      <c r="E15">
        <v>3</v>
      </c>
      <c r="F15">
        <v>450</v>
      </c>
      <c r="G15" s="10">
        <v>1350</v>
      </c>
    </row>
    <row r="16" spans="1:7" x14ac:dyDescent="0.25">
      <c r="A16" t="s">
        <v>198</v>
      </c>
      <c r="B16" t="s">
        <v>199</v>
      </c>
      <c r="C16">
        <v>16</v>
      </c>
      <c r="D16" t="s">
        <v>184</v>
      </c>
      <c r="E16">
        <v>5</v>
      </c>
      <c r="F16">
        <v>620</v>
      </c>
      <c r="G16" s="10">
        <v>3100</v>
      </c>
    </row>
    <row r="17" spans="1:7" x14ac:dyDescent="0.25">
      <c r="A17" t="s">
        <v>176</v>
      </c>
      <c r="B17" t="s">
        <v>216</v>
      </c>
      <c r="C17">
        <v>17</v>
      </c>
      <c r="D17" t="s">
        <v>204</v>
      </c>
      <c r="E17">
        <v>10</v>
      </c>
      <c r="F17" s="10">
        <v>1250</v>
      </c>
      <c r="G17" s="10">
        <v>12500</v>
      </c>
    </row>
    <row r="18" spans="1:7" x14ac:dyDescent="0.25">
      <c r="A18" t="s">
        <v>176</v>
      </c>
      <c r="B18" t="s">
        <v>216</v>
      </c>
      <c r="C18">
        <v>16</v>
      </c>
      <c r="D18" t="s">
        <v>184</v>
      </c>
      <c r="E18">
        <v>5</v>
      </c>
      <c r="F18">
        <v>850</v>
      </c>
      <c r="G18" s="10">
        <v>4250</v>
      </c>
    </row>
  </sheetData>
  <sheetProtection algorithmName="SHA-512" hashValue="7VkKkyNajT4U8P2Opc4O/65M4XFfn1tljL/v9iYppq8fOg/Z9R8BsQy7yi8jpg2Ug+UHuzzyGnLFtoewaRYYWQ==" saltValue="Nvc2L/chhRuvfb22yNp1o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EA959-4E13-413A-9809-8A941F33A26D}">
  <sheetPr codeName="Hoja11"/>
  <dimension ref="A1:G22"/>
  <sheetViews>
    <sheetView workbookViewId="0">
      <selection activeCell="G18" sqref="G18"/>
    </sheetView>
  </sheetViews>
  <sheetFormatPr baseColWidth="10" defaultRowHeight="15" x14ac:dyDescent="0.25"/>
  <cols>
    <col min="1" max="1" width="13.140625" bestFit="1" customWidth="1"/>
    <col min="2" max="2" width="11.7109375" bestFit="1" customWidth="1"/>
    <col min="3" max="3" width="13" bestFit="1" customWidth="1"/>
    <col min="4" max="4" width="15.28515625" bestFit="1" customWidth="1"/>
    <col min="5" max="5" width="8.28515625" bestFit="1" customWidth="1"/>
    <col min="6" max="6" width="15.85546875" bestFit="1" customWidth="1"/>
    <col min="7" max="7" width="23" customWidth="1"/>
  </cols>
  <sheetData>
    <row r="1" spans="1:7" x14ac:dyDescent="0.25">
      <c r="A1" s="8" t="s">
        <v>85</v>
      </c>
      <c r="B1" s="8" t="s">
        <v>86</v>
      </c>
      <c r="C1" s="8" t="s">
        <v>87</v>
      </c>
      <c r="D1" s="8" t="s">
        <v>88</v>
      </c>
      <c r="E1" s="8" t="s">
        <v>89</v>
      </c>
      <c r="F1" s="8" t="s">
        <v>71</v>
      </c>
      <c r="G1" s="8" t="s">
        <v>49</v>
      </c>
    </row>
    <row r="2" spans="1:7" x14ac:dyDescent="0.25">
      <c r="A2" s="2">
        <v>44265</v>
      </c>
      <c r="B2">
        <v>1</v>
      </c>
      <c r="C2">
        <v>66</v>
      </c>
      <c r="D2">
        <v>70</v>
      </c>
      <c r="E2">
        <v>-4</v>
      </c>
      <c r="F2" t="s">
        <v>142</v>
      </c>
      <c r="G2" t="s">
        <v>50</v>
      </c>
    </row>
    <row r="3" spans="1:7" x14ac:dyDescent="0.25">
      <c r="A3" s="2">
        <v>44265</v>
      </c>
      <c r="B3">
        <v>2</v>
      </c>
      <c r="C3">
        <v>141</v>
      </c>
      <c r="D3">
        <v>150</v>
      </c>
      <c r="E3">
        <v>-9</v>
      </c>
      <c r="F3" t="s">
        <v>142</v>
      </c>
      <c r="G3" t="s">
        <v>47</v>
      </c>
    </row>
    <row r="4" spans="1:7" x14ac:dyDescent="0.25">
      <c r="A4" s="2">
        <v>44265</v>
      </c>
      <c r="B4">
        <v>3</v>
      </c>
      <c r="C4">
        <v>83.5</v>
      </c>
      <c r="D4">
        <v>85</v>
      </c>
      <c r="E4">
        <v>-1.5</v>
      </c>
      <c r="F4" t="s">
        <v>142</v>
      </c>
      <c r="G4" t="s">
        <v>47</v>
      </c>
    </row>
    <row r="5" spans="1:7" x14ac:dyDescent="0.25">
      <c r="A5" s="2">
        <v>44266</v>
      </c>
      <c r="B5">
        <v>4</v>
      </c>
      <c r="C5">
        <v>60</v>
      </c>
      <c r="D5">
        <v>60</v>
      </c>
      <c r="E5">
        <v>0</v>
      </c>
      <c r="F5" t="s">
        <v>142</v>
      </c>
      <c r="G5" t="s">
        <v>47</v>
      </c>
    </row>
    <row r="6" spans="1:7" x14ac:dyDescent="0.25">
      <c r="A6" s="2">
        <v>44266</v>
      </c>
      <c r="B6">
        <v>5</v>
      </c>
      <c r="C6" s="10">
        <v>1740</v>
      </c>
      <c r="D6" s="10">
        <v>1750</v>
      </c>
      <c r="E6">
        <v>-10</v>
      </c>
      <c r="F6" t="s">
        <v>142</v>
      </c>
      <c r="G6" t="s">
        <v>47</v>
      </c>
    </row>
    <row r="7" spans="1:7" x14ac:dyDescent="0.25">
      <c r="A7" s="2">
        <v>44268</v>
      </c>
      <c r="B7">
        <v>6</v>
      </c>
      <c r="C7">
        <v>44</v>
      </c>
      <c r="D7">
        <v>45</v>
      </c>
      <c r="E7">
        <v>-1</v>
      </c>
      <c r="F7" t="s">
        <v>142</v>
      </c>
      <c r="G7" t="s">
        <v>47</v>
      </c>
    </row>
    <row r="8" spans="1:7" x14ac:dyDescent="0.25">
      <c r="A8" s="2">
        <v>44268</v>
      </c>
      <c r="B8">
        <v>7</v>
      </c>
      <c r="C8">
        <v>63</v>
      </c>
      <c r="D8">
        <v>65</v>
      </c>
      <c r="E8">
        <v>-2</v>
      </c>
      <c r="F8" t="s">
        <v>142</v>
      </c>
      <c r="G8" t="s">
        <v>47</v>
      </c>
    </row>
    <row r="9" spans="1:7" x14ac:dyDescent="0.25">
      <c r="A9" s="2">
        <v>44268</v>
      </c>
      <c r="B9">
        <v>8</v>
      </c>
      <c r="C9">
        <v>42</v>
      </c>
      <c r="D9">
        <v>45</v>
      </c>
      <c r="E9">
        <v>-3</v>
      </c>
      <c r="F9" t="s">
        <v>142</v>
      </c>
      <c r="G9" t="s">
        <v>47</v>
      </c>
    </row>
    <row r="10" spans="1:7" x14ac:dyDescent="0.25">
      <c r="A10" s="2">
        <v>44268</v>
      </c>
      <c r="B10">
        <v>9</v>
      </c>
      <c r="C10">
        <v>26.5</v>
      </c>
      <c r="D10">
        <v>30</v>
      </c>
      <c r="E10">
        <v>-3.5</v>
      </c>
      <c r="F10" t="s">
        <v>142</v>
      </c>
      <c r="G10" t="s">
        <v>47</v>
      </c>
    </row>
    <row r="11" spans="1:7" x14ac:dyDescent="0.25">
      <c r="A11" s="2">
        <v>44271</v>
      </c>
      <c r="B11">
        <v>10</v>
      </c>
      <c r="C11">
        <v>70.5</v>
      </c>
      <c r="D11">
        <v>71</v>
      </c>
      <c r="E11">
        <v>-0.5</v>
      </c>
      <c r="F11" t="s">
        <v>142</v>
      </c>
    </row>
    <row r="12" spans="1:7" x14ac:dyDescent="0.25">
      <c r="A12" s="2">
        <v>44271</v>
      </c>
      <c r="B12">
        <v>11</v>
      </c>
      <c r="C12">
        <v>23.5</v>
      </c>
      <c r="D12">
        <v>25</v>
      </c>
      <c r="E12">
        <v>-1.5</v>
      </c>
      <c r="F12" t="s">
        <v>142</v>
      </c>
    </row>
    <row r="13" spans="1:7" x14ac:dyDescent="0.25">
      <c r="A13" s="2">
        <v>44272</v>
      </c>
      <c r="B13">
        <v>12</v>
      </c>
      <c r="C13">
        <v>870</v>
      </c>
      <c r="D13">
        <v>870</v>
      </c>
      <c r="E13">
        <v>0</v>
      </c>
      <c r="F13" t="s">
        <v>142</v>
      </c>
    </row>
    <row r="14" spans="1:7" x14ac:dyDescent="0.25">
      <c r="A14" s="2">
        <v>44272</v>
      </c>
      <c r="B14">
        <v>13</v>
      </c>
      <c r="C14">
        <v>870</v>
      </c>
      <c r="D14">
        <v>870</v>
      </c>
      <c r="E14">
        <v>0</v>
      </c>
      <c r="F14" t="s">
        <v>211</v>
      </c>
      <c r="G14" t="s">
        <v>56</v>
      </c>
    </row>
    <row r="15" spans="1:7" x14ac:dyDescent="0.25">
      <c r="A15" s="2">
        <v>44272</v>
      </c>
      <c r="B15">
        <v>14</v>
      </c>
      <c r="C15">
        <v>22</v>
      </c>
      <c r="D15">
        <v>22</v>
      </c>
      <c r="E15">
        <v>0</v>
      </c>
      <c r="F15" t="s">
        <v>142</v>
      </c>
      <c r="G15" t="s">
        <v>47</v>
      </c>
    </row>
    <row r="16" spans="1:7" x14ac:dyDescent="0.25">
      <c r="A16" s="2">
        <v>44273</v>
      </c>
      <c r="B16">
        <v>15</v>
      </c>
      <c r="C16">
        <v>48.5</v>
      </c>
      <c r="D16">
        <v>50</v>
      </c>
      <c r="E16">
        <v>-1.5</v>
      </c>
      <c r="F16" t="s">
        <v>142</v>
      </c>
      <c r="G16" t="s">
        <v>47</v>
      </c>
    </row>
    <row r="17" spans="1:7" x14ac:dyDescent="0.25">
      <c r="A17" s="2">
        <v>44273</v>
      </c>
      <c r="B17">
        <v>16</v>
      </c>
      <c r="C17" s="10">
        <v>2300</v>
      </c>
      <c r="D17" s="10">
        <v>2300</v>
      </c>
      <c r="E17">
        <v>0</v>
      </c>
      <c r="F17" t="s">
        <v>142</v>
      </c>
      <c r="G17" t="s">
        <v>47</v>
      </c>
    </row>
    <row r="18" spans="1:7" x14ac:dyDescent="0.25">
      <c r="A18" s="2">
        <v>44275</v>
      </c>
      <c r="B18">
        <v>17</v>
      </c>
      <c r="C18">
        <v>116</v>
      </c>
      <c r="D18">
        <v>116</v>
      </c>
      <c r="E18">
        <v>0</v>
      </c>
      <c r="F18" t="s">
        <v>211</v>
      </c>
      <c r="G18" t="s">
        <v>50</v>
      </c>
    </row>
    <row r="19" spans="1:7" x14ac:dyDescent="0.25">
      <c r="A19" s="2">
        <v>44275</v>
      </c>
      <c r="B19">
        <v>18</v>
      </c>
      <c r="C19">
        <v>63</v>
      </c>
      <c r="D19">
        <v>63</v>
      </c>
      <c r="E19">
        <v>0</v>
      </c>
      <c r="F19" t="s">
        <v>142</v>
      </c>
      <c r="G19" t="s">
        <v>47</v>
      </c>
    </row>
    <row r="20" spans="1:7" x14ac:dyDescent="0.25">
      <c r="A20" s="2"/>
    </row>
    <row r="21" spans="1:7" x14ac:dyDescent="0.25">
      <c r="A21" s="2"/>
    </row>
    <row r="22" spans="1:7" x14ac:dyDescent="0.25">
      <c r="A22" s="2"/>
    </row>
  </sheetData>
  <sheetProtection algorithmName="SHA-512" hashValue="+KIRDCsDpxKyvrd/Chumm7wXnyCH1aT2lgBRPauBte0ggfrvOlHn7MiDkNBKnZhgLZbOkgpGpH4zuzTmjCblyw==" saltValue="b8BVosyviqtPSBV07kN3L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88ED-8712-4D5D-8C2E-B7A217A0ADF8}">
  <sheetPr codeName="Hoja12"/>
  <dimension ref="A1:H22"/>
  <sheetViews>
    <sheetView workbookViewId="0">
      <selection activeCell="D30" sqref="D30"/>
    </sheetView>
  </sheetViews>
  <sheetFormatPr baseColWidth="10" defaultRowHeight="15" x14ac:dyDescent="0.25"/>
  <cols>
    <col min="4" max="4" width="37.42578125" customWidth="1"/>
  </cols>
  <sheetData>
    <row r="1" spans="1:8" ht="30" x14ac:dyDescent="0.25">
      <c r="A1" s="4" t="s">
        <v>85</v>
      </c>
      <c r="B1" s="4" t="s">
        <v>86</v>
      </c>
      <c r="C1" s="4" t="s">
        <v>90</v>
      </c>
      <c r="D1" s="4" t="s">
        <v>91</v>
      </c>
      <c r="E1" s="4" t="s">
        <v>92</v>
      </c>
      <c r="F1" s="4" t="s">
        <v>93</v>
      </c>
      <c r="G1" s="4" t="s">
        <v>214</v>
      </c>
      <c r="H1" s="4" t="s">
        <v>70</v>
      </c>
    </row>
    <row r="2" spans="1:8" x14ac:dyDescent="0.25">
      <c r="A2" t="s">
        <v>176</v>
      </c>
      <c r="B2">
        <v>1</v>
      </c>
      <c r="C2">
        <v>2</v>
      </c>
      <c r="D2" t="s">
        <v>119</v>
      </c>
      <c r="E2">
        <v>3</v>
      </c>
      <c r="F2">
        <v>22</v>
      </c>
      <c r="G2">
        <v>0</v>
      </c>
      <c r="H2">
        <v>66</v>
      </c>
    </row>
    <row r="3" spans="1:8" x14ac:dyDescent="0.25">
      <c r="A3" t="s">
        <v>176</v>
      </c>
      <c r="B3">
        <v>2</v>
      </c>
      <c r="C3">
        <v>4</v>
      </c>
      <c r="D3" t="s">
        <v>121</v>
      </c>
      <c r="E3">
        <v>4</v>
      </c>
      <c r="F3">
        <v>22</v>
      </c>
      <c r="G3">
        <v>0</v>
      </c>
      <c r="H3">
        <v>88</v>
      </c>
    </row>
    <row r="4" spans="1:8" x14ac:dyDescent="0.25">
      <c r="A4" t="s">
        <v>176</v>
      </c>
      <c r="B4">
        <v>2</v>
      </c>
      <c r="C4">
        <v>1</v>
      </c>
      <c r="D4" t="s">
        <v>115</v>
      </c>
      <c r="E4">
        <v>2</v>
      </c>
      <c r="F4">
        <v>26.5</v>
      </c>
      <c r="G4">
        <v>0</v>
      </c>
      <c r="H4">
        <v>53</v>
      </c>
    </row>
    <row r="5" spans="1:8" x14ac:dyDescent="0.25">
      <c r="A5" t="s">
        <v>176</v>
      </c>
      <c r="B5">
        <v>3</v>
      </c>
      <c r="C5">
        <v>3</v>
      </c>
      <c r="D5" t="s">
        <v>120</v>
      </c>
      <c r="E5">
        <v>3</v>
      </c>
      <c r="F5">
        <v>20</v>
      </c>
      <c r="G5">
        <v>0</v>
      </c>
      <c r="H5">
        <v>60</v>
      </c>
    </row>
    <row r="6" spans="1:8" x14ac:dyDescent="0.25">
      <c r="A6" t="s">
        <v>176</v>
      </c>
      <c r="B6">
        <v>3</v>
      </c>
      <c r="C6">
        <v>5</v>
      </c>
      <c r="D6" t="s">
        <v>123</v>
      </c>
      <c r="E6">
        <v>1</v>
      </c>
      <c r="F6">
        <v>23.5</v>
      </c>
      <c r="G6">
        <v>0</v>
      </c>
      <c r="H6">
        <v>23.5</v>
      </c>
    </row>
    <row r="7" spans="1:8" x14ac:dyDescent="0.25">
      <c r="A7" t="s">
        <v>180</v>
      </c>
      <c r="B7">
        <v>4</v>
      </c>
      <c r="C7">
        <v>3</v>
      </c>
      <c r="D7" t="s">
        <v>120</v>
      </c>
      <c r="E7">
        <v>3</v>
      </c>
      <c r="F7">
        <v>20</v>
      </c>
      <c r="G7">
        <v>0</v>
      </c>
      <c r="H7">
        <v>60</v>
      </c>
    </row>
    <row r="8" spans="1:8" x14ac:dyDescent="0.25">
      <c r="A8" t="s">
        <v>180</v>
      </c>
      <c r="B8">
        <v>5</v>
      </c>
      <c r="C8">
        <v>16</v>
      </c>
      <c r="D8" t="s">
        <v>184</v>
      </c>
      <c r="E8">
        <v>2</v>
      </c>
      <c r="F8">
        <v>870</v>
      </c>
      <c r="G8">
        <v>0</v>
      </c>
      <c r="H8">
        <v>1740</v>
      </c>
    </row>
    <row r="9" spans="1:8" x14ac:dyDescent="0.25">
      <c r="A9" t="s">
        <v>202</v>
      </c>
      <c r="B9">
        <v>6</v>
      </c>
      <c r="C9">
        <v>2</v>
      </c>
      <c r="D9" t="s">
        <v>119</v>
      </c>
      <c r="E9">
        <v>2</v>
      </c>
      <c r="F9">
        <v>22</v>
      </c>
      <c r="G9">
        <v>0</v>
      </c>
      <c r="H9">
        <v>44</v>
      </c>
    </row>
    <row r="10" spans="1:8" x14ac:dyDescent="0.25">
      <c r="A10" t="s">
        <v>202</v>
      </c>
      <c r="B10">
        <v>7</v>
      </c>
      <c r="C10">
        <v>4</v>
      </c>
      <c r="D10" t="s">
        <v>121</v>
      </c>
      <c r="E10">
        <v>3</v>
      </c>
      <c r="F10">
        <v>21</v>
      </c>
      <c r="G10">
        <v>0</v>
      </c>
      <c r="H10">
        <v>63</v>
      </c>
    </row>
    <row r="11" spans="1:8" x14ac:dyDescent="0.25">
      <c r="A11" t="s">
        <v>202</v>
      </c>
      <c r="B11">
        <v>8</v>
      </c>
      <c r="C11">
        <v>3</v>
      </c>
      <c r="D11" t="s">
        <v>120</v>
      </c>
      <c r="E11">
        <v>2</v>
      </c>
      <c r="F11">
        <v>21</v>
      </c>
      <c r="G11">
        <v>0</v>
      </c>
      <c r="H11">
        <v>42</v>
      </c>
    </row>
    <row r="12" spans="1:8" x14ac:dyDescent="0.25">
      <c r="A12" t="s">
        <v>202</v>
      </c>
      <c r="B12">
        <v>9</v>
      </c>
      <c r="C12">
        <v>1</v>
      </c>
      <c r="D12" t="s">
        <v>115</v>
      </c>
      <c r="E12">
        <v>1</v>
      </c>
      <c r="F12">
        <v>26.5</v>
      </c>
      <c r="G12">
        <v>0</v>
      </c>
      <c r="H12">
        <v>26.5</v>
      </c>
    </row>
    <row r="13" spans="1:8" x14ac:dyDescent="0.25">
      <c r="A13" t="s">
        <v>212</v>
      </c>
      <c r="B13">
        <v>13</v>
      </c>
      <c r="C13">
        <v>16</v>
      </c>
      <c r="D13" t="s">
        <v>184</v>
      </c>
      <c r="E13">
        <v>1</v>
      </c>
      <c r="F13">
        <v>870</v>
      </c>
      <c r="G13">
        <v>0</v>
      </c>
      <c r="H13">
        <v>870</v>
      </c>
    </row>
    <row r="14" spans="1:8" x14ac:dyDescent="0.25">
      <c r="A14" t="s">
        <v>212</v>
      </c>
      <c r="B14">
        <v>14</v>
      </c>
      <c r="C14">
        <v>4</v>
      </c>
      <c r="D14" t="s">
        <v>121</v>
      </c>
      <c r="E14">
        <v>1</v>
      </c>
      <c r="F14">
        <v>22</v>
      </c>
      <c r="G14">
        <v>0</v>
      </c>
      <c r="H14">
        <v>22</v>
      </c>
    </row>
    <row r="15" spans="1:8" x14ac:dyDescent="0.25">
      <c r="A15" t="s">
        <v>215</v>
      </c>
      <c r="B15">
        <v>15</v>
      </c>
      <c r="C15">
        <v>2</v>
      </c>
      <c r="D15" t="s">
        <v>119</v>
      </c>
      <c r="E15">
        <v>1</v>
      </c>
      <c r="F15">
        <v>22</v>
      </c>
      <c r="G15">
        <v>0</v>
      </c>
      <c r="H15">
        <v>22</v>
      </c>
    </row>
    <row r="16" spans="1:8" x14ac:dyDescent="0.25">
      <c r="A16" t="s">
        <v>215</v>
      </c>
      <c r="B16">
        <v>15</v>
      </c>
      <c r="C16">
        <v>1</v>
      </c>
      <c r="D16" t="s">
        <v>115</v>
      </c>
      <c r="E16">
        <v>1</v>
      </c>
      <c r="F16">
        <v>26.5</v>
      </c>
      <c r="G16">
        <v>0</v>
      </c>
      <c r="H16">
        <v>26.5</v>
      </c>
    </row>
    <row r="17" spans="1:8" x14ac:dyDescent="0.25">
      <c r="A17" t="s">
        <v>215</v>
      </c>
      <c r="B17">
        <v>16</v>
      </c>
      <c r="C17">
        <v>16</v>
      </c>
      <c r="D17" t="s">
        <v>184</v>
      </c>
      <c r="E17">
        <v>1</v>
      </c>
      <c r="F17">
        <v>870</v>
      </c>
      <c r="G17">
        <v>0</v>
      </c>
      <c r="H17">
        <v>870</v>
      </c>
    </row>
    <row r="18" spans="1:8" x14ac:dyDescent="0.25">
      <c r="A18" t="s">
        <v>215</v>
      </c>
      <c r="B18">
        <v>16</v>
      </c>
      <c r="C18">
        <v>17</v>
      </c>
      <c r="D18" t="s">
        <v>204</v>
      </c>
      <c r="E18">
        <v>1</v>
      </c>
      <c r="F18" s="10">
        <v>1430</v>
      </c>
      <c r="G18">
        <v>0</v>
      </c>
      <c r="H18" s="10">
        <v>1430</v>
      </c>
    </row>
    <row r="19" spans="1:8" x14ac:dyDescent="0.25">
      <c r="A19" t="s">
        <v>218</v>
      </c>
      <c r="B19">
        <v>17</v>
      </c>
      <c r="C19">
        <v>1</v>
      </c>
      <c r="D19" t="s">
        <v>115</v>
      </c>
      <c r="E19">
        <v>1</v>
      </c>
      <c r="F19">
        <v>26.5</v>
      </c>
      <c r="G19">
        <v>0</v>
      </c>
      <c r="H19">
        <v>26.5</v>
      </c>
    </row>
    <row r="20" spans="1:8" x14ac:dyDescent="0.25">
      <c r="A20" t="s">
        <v>218</v>
      </c>
      <c r="B20">
        <v>17</v>
      </c>
      <c r="C20">
        <v>2</v>
      </c>
      <c r="D20" t="s">
        <v>119</v>
      </c>
      <c r="E20">
        <v>3</v>
      </c>
      <c r="F20">
        <v>22</v>
      </c>
      <c r="G20">
        <v>0</v>
      </c>
      <c r="H20">
        <v>66</v>
      </c>
    </row>
    <row r="21" spans="1:8" x14ac:dyDescent="0.25">
      <c r="A21" t="s">
        <v>218</v>
      </c>
      <c r="B21">
        <v>17</v>
      </c>
      <c r="C21">
        <v>5</v>
      </c>
      <c r="D21" t="s">
        <v>123</v>
      </c>
      <c r="E21">
        <v>1</v>
      </c>
      <c r="F21">
        <v>23.5</v>
      </c>
      <c r="G21">
        <v>0</v>
      </c>
      <c r="H21">
        <v>23.5</v>
      </c>
    </row>
    <row r="22" spans="1:8" x14ac:dyDescent="0.25">
      <c r="A22" t="s">
        <v>218</v>
      </c>
      <c r="B22">
        <v>18</v>
      </c>
      <c r="C22">
        <v>4</v>
      </c>
      <c r="D22" t="s">
        <v>121</v>
      </c>
      <c r="E22">
        <v>3</v>
      </c>
      <c r="F22">
        <v>21</v>
      </c>
      <c r="G22">
        <v>0</v>
      </c>
      <c r="H22">
        <v>63</v>
      </c>
    </row>
  </sheetData>
  <sheetProtection algorithmName="SHA-512" hashValue="v/03WsiJibZIiYfbUStZlIrTFOCQiFKEfhQscJ/miWSUDFj0WyrmdcyDp9/2jnIYQ0MNE8YgNNEcHBTHWOYIIQ==" saltValue="uKLJx3iDZed2ovSmbyYCA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2D64E-1775-42C5-9299-AF74F202B2AA}">
  <sheetPr codeName="Hoja14"/>
  <dimension ref="A1:C7"/>
  <sheetViews>
    <sheetView workbookViewId="0">
      <selection activeCell="G27" sqref="G27"/>
    </sheetView>
  </sheetViews>
  <sheetFormatPr baseColWidth="10" defaultRowHeight="15" x14ac:dyDescent="0.25"/>
  <cols>
    <col min="2" max="2" width="13.140625" bestFit="1" customWidth="1"/>
  </cols>
  <sheetData>
    <row r="1" spans="1:3" x14ac:dyDescent="0.25">
      <c r="A1" s="1" t="s">
        <v>19</v>
      </c>
      <c r="B1" s="1" t="s">
        <v>168</v>
      </c>
      <c r="C1" s="1" t="s">
        <v>169</v>
      </c>
    </row>
    <row r="2" spans="1:3" x14ac:dyDescent="0.25">
      <c r="A2" s="2">
        <v>44206</v>
      </c>
      <c r="B2" t="s">
        <v>170</v>
      </c>
      <c r="C2">
        <v>120</v>
      </c>
    </row>
    <row r="3" spans="1:3" x14ac:dyDescent="0.25">
      <c r="A3" s="2">
        <v>44265</v>
      </c>
      <c r="B3" t="s">
        <v>170</v>
      </c>
      <c r="C3">
        <v>55</v>
      </c>
    </row>
    <row r="4" spans="1:3" x14ac:dyDescent="0.25">
      <c r="A4" s="2">
        <v>44266</v>
      </c>
      <c r="B4" t="s">
        <v>170</v>
      </c>
      <c r="C4">
        <v>15</v>
      </c>
    </row>
    <row r="5" spans="1:3" x14ac:dyDescent="0.25">
      <c r="A5" s="2">
        <v>44267</v>
      </c>
      <c r="B5" t="s">
        <v>170</v>
      </c>
      <c r="C5">
        <v>155</v>
      </c>
    </row>
    <row r="6" spans="1:3" x14ac:dyDescent="0.25">
      <c r="A6" s="2">
        <v>44268</v>
      </c>
      <c r="B6" t="s">
        <v>170</v>
      </c>
      <c r="C6">
        <v>125</v>
      </c>
    </row>
    <row r="7" spans="1:3" x14ac:dyDescent="0.25">
      <c r="A7" s="2">
        <v>44268</v>
      </c>
      <c r="B7" t="s">
        <v>210</v>
      </c>
      <c r="C7">
        <v>100</v>
      </c>
    </row>
  </sheetData>
  <sheetProtection algorithmName="SHA-512" hashValue="HmnSrVKTuwFumcJaMUVcpFxTzBoYoxYYJX0dI8KM4Gj2TT8sBWapB8zxJMVXSLMzeDleNtHP4pFUod05ak9Jvg==" saltValue="eV9SaK2LNXmXeZcd8kUcVw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7C9AF-C4EF-44E1-9D77-195692D2D9D9}">
  <sheetPr codeName="Hoja15"/>
  <dimension ref="A1:E170"/>
  <sheetViews>
    <sheetView zoomScale="160" zoomScaleNormal="160" workbookViewId="0">
      <selection activeCell="D13" sqref="D13"/>
    </sheetView>
  </sheetViews>
  <sheetFormatPr baseColWidth="10" defaultRowHeight="15" x14ac:dyDescent="0.25"/>
  <cols>
    <col min="1" max="1" width="5.42578125" customWidth="1"/>
    <col min="2" max="2" width="8.85546875" customWidth="1"/>
    <col min="3" max="3" width="3.85546875" customWidth="1"/>
    <col min="4" max="4" width="4.85546875" style="10" customWidth="1"/>
    <col min="5" max="5" width="5.42578125" style="25" customWidth="1"/>
  </cols>
  <sheetData>
    <row r="1" spans="1:5" x14ac:dyDescent="0.25">
      <c r="A1" s="26" t="s">
        <v>101</v>
      </c>
      <c r="B1" s="26"/>
      <c r="C1" s="26"/>
      <c r="D1" s="26"/>
      <c r="E1" s="26"/>
    </row>
    <row r="2" spans="1:5" ht="30.75" customHeight="1" x14ac:dyDescent="0.25">
      <c r="A2" s="27" t="s">
        <v>179</v>
      </c>
      <c r="B2" s="27"/>
      <c r="C2" s="27"/>
      <c r="D2" s="27"/>
      <c r="E2" s="27"/>
    </row>
    <row r="3" spans="1:5" ht="3" customHeight="1" x14ac:dyDescent="0.25">
      <c r="A3" s="28"/>
      <c r="B3" s="28"/>
      <c r="C3" s="28"/>
      <c r="D3" s="28"/>
      <c r="E3" s="28"/>
    </row>
    <row r="4" spans="1:5" x14ac:dyDescent="0.25">
      <c r="A4" s="15" t="s">
        <v>219</v>
      </c>
      <c r="B4" s="15"/>
      <c r="C4" s="15"/>
      <c r="D4" s="19"/>
      <c r="E4" s="20"/>
    </row>
    <row r="5" spans="1:5" x14ac:dyDescent="0.25">
      <c r="A5" s="15" t="s">
        <v>171</v>
      </c>
      <c r="B5" s="15"/>
      <c r="C5" s="16" t="s">
        <v>172</v>
      </c>
      <c r="D5" s="20" t="s">
        <v>201</v>
      </c>
      <c r="E5" s="20" t="s">
        <v>173</v>
      </c>
    </row>
    <row r="6" spans="1:5" x14ac:dyDescent="0.25">
      <c r="A6" s="17" t="s">
        <v>121</v>
      </c>
      <c r="B6" s="17"/>
      <c r="C6" s="17"/>
      <c r="D6" s="21"/>
      <c r="E6" s="22"/>
    </row>
    <row r="7" spans="1:5" x14ac:dyDescent="0.25">
      <c r="A7" s="17"/>
      <c r="B7" s="17"/>
      <c r="C7" s="17">
        <v>3</v>
      </c>
      <c r="D7" s="21">
        <v>21</v>
      </c>
      <c r="E7" s="22">
        <v>63</v>
      </c>
    </row>
    <row r="8" spans="1:5" x14ac:dyDescent="0.25">
      <c r="A8" s="17"/>
      <c r="B8" s="17" t="s">
        <v>70</v>
      </c>
      <c r="C8" s="17"/>
      <c r="D8" s="21"/>
      <c r="E8" s="22" t="s">
        <v>220</v>
      </c>
    </row>
    <row r="9" spans="1:5" x14ac:dyDescent="0.25">
      <c r="A9" s="17"/>
      <c r="B9" s="17" t="s">
        <v>213</v>
      </c>
      <c r="C9" s="17"/>
      <c r="D9" s="21"/>
      <c r="E9" s="22" t="s">
        <v>116</v>
      </c>
    </row>
    <row r="10" spans="1:5" x14ac:dyDescent="0.25">
      <c r="A10" s="17"/>
      <c r="B10" s="17" t="s">
        <v>174</v>
      </c>
      <c r="C10" s="17"/>
      <c r="D10" s="21"/>
      <c r="E10" s="22" t="s">
        <v>220</v>
      </c>
    </row>
    <row r="11" spans="1:5" x14ac:dyDescent="0.25">
      <c r="A11" s="17"/>
      <c r="B11" s="17" t="s">
        <v>89</v>
      </c>
      <c r="C11" s="17"/>
      <c r="D11" s="21"/>
      <c r="E11" s="22" t="s">
        <v>116</v>
      </c>
    </row>
    <row r="12" spans="1:5" x14ac:dyDescent="0.25">
      <c r="A12" s="17" t="s">
        <v>175</v>
      </c>
      <c r="B12" s="17"/>
      <c r="C12" s="17"/>
      <c r="D12" s="21"/>
      <c r="E12" s="22"/>
    </row>
    <row r="13" spans="1:5" x14ac:dyDescent="0.25">
      <c r="A13" s="17"/>
      <c r="B13" s="17"/>
      <c r="C13" s="17"/>
      <c r="D13" s="21"/>
      <c r="E13" s="22"/>
    </row>
    <row r="14" spans="1:5" x14ac:dyDescent="0.25">
      <c r="A14" s="26"/>
      <c r="B14" s="26"/>
      <c r="C14" s="26"/>
      <c r="D14" s="26"/>
      <c r="E14" s="26"/>
    </row>
    <row r="15" spans="1:5" x14ac:dyDescent="0.25">
      <c r="A15" s="17"/>
      <c r="B15" s="17"/>
      <c r="C15" s="17"/>
      <c r="D15" s="21"/>
      <c r="E15" s="22"/>
    </row>
    <row r="16" spans="1:5" x14ac:dyDescent="0.25">
      <c r="A16" s="17"/>
      <c r="B16" s="17"/>
      <c r="C16" s="17"/>
      <c r="D16" s="21"/>
      <c r="E16" s="22"/>
    </row>
    <row r="17" spans="1:5" x14ac:dyDescent="0.25">
      <c r="A17" s="17"/>
      <c r="B17" s="17"/>
      <c r="C17" s="17"/>
      <c r="D17" s="21"/>
      <c r="E17" s="22"/>
    </row>
    <row r="18" spans="1:5" x14ac:dyDescent="0.25">
      <c r="A18" s="17"/>
      <c r="B18" s="17"/>
      <c r="C18" s="17"/>
      <c r="D18" s="21"/>
      <c r="E18" s="22"/>
    </row>
    <row r="19" spans="1:5" x14ac:dyDescent="0.25">
      <c r="A19" s="17"/>
      <c r="B19" s="17"/>
      <c r="C19" s="17"/>
      <c r="D19" s="21"/>
      <c r="E19" s="22"/>
    </row>
    <row r="20" spans="1:5" x14ac:dyDescent="0.25">
      <c r="A20" s="17"/>
      <c r="B20" s="17"/>
      <c r="C20" s="17"/>
      <c r="D20" s="21"/>
      <c r="E20" s="22"/>
    </row>
    <row r="21" spans="1:5" x14ac:dyDescent="0.25">
      <c r="A21" s="17"/>
      <c r="B21" s="17"/>
      <c r="C21" s="17"/>
      <c r="D21" s="21"/>
      <c r="E21" s="22"/>
    </row>
    <row r="22" spans="1:5" x14ac:dyDescent="0.25">
      <c r="A22" s="17"/>
      <c r="B22" s="17"/>
      <c r="C22" s="17"/>
      <c r="D22" s="21"/>
      <c r="E22" s="22"/>
    </row>
    <row r="23" spans="1:5" x14ac:dyDescent="0.25">
      <c r="A23" s="17"/>
      <c r="B23" s="17"/>
      <c r="C23" s="17"/>
      <c r="D23" s="21"/>
      <c r="E23" s="22"/>
    </row>
    <row r="24" spans="1:5" x14ac:dyDescent="0.25">
      <c r="A24" s="17"/>
      <c r="B24" s="17"/>
      <c r="C24" s="17"/>
      <c r="D24" s="21"/>
      <c r="E24" s="22"/>
    </row>
    <row r="25" spans="1:5" x14ac:dyDescent="0.25">
      <c r="A25" s="17"/>
      <c r="B25" s="17"/>
      <c r="C25" s="17"/>
      <c r="D25" s="21"/>
      <c r="E25" s="22"/>
    </row>
    <row r="26" spans="1:5" x14ac:dyDescent="0.25">
      <c r="A26" s="17"/>
      <c r="B26" s="17"/>
      <c r="C26" s="17"/>
      <c r="D26" s="21"/>
      <c r="E26" s="22"/>
    </row>
    <row r="27" spans="1:5" x14ac:dyDescent="0.25">
      <c r="A27" s="17"/>
      <c r="B27" s="17"/>
      <c r="C27" s="17"/>
      <c r="D27" s="21"/>
      <c r="E27" s="22"/>
    </row>
    <row r="28" spans="1:5" x14ac:dyDescent="0.25">
      <c r="A28" s="17"/>
      <c r="B28" s="17"/>
      <c r="C28" s="17"/>
      <c r="D28" s="21"/>
      <c r="E28" s="22"/>
    </row>
    <row r="29" spans="1:5" x14ac:dyDescent="0.25">
      <c r="A29" s="17"/>
      <c r="B29" s="17"/>
      <c r="C29" s="17"/>
      <c r="D29" s="21"/>
      <c r="E29" s="22"/>
    </row>
    <row r="30" spans="1:5" x14ac:dyDescent="0.25">
      <c r="A30" s="17"/>
      <c r="B30" s="17"/>
      <c r="C30" s="17"/>
      <c r="D30" s="21"/>
      <c r="E30" s="22"/>
    </row>
    <row r="31" spans="1:5" x14ac:dyDescent="0.25">
      <c r="A31" s="17"/>
      <c r="B31" s="17"/>
      <c r="C31" s="17"/>
      <c r="D31" s="21"/>
      <c r="E31" s="22"/>
    </row>
    <row r="32" spans="1:5" x14ac:dyDescent="0.25">
      <c r="A32" s="17"/>
      <c r="B32" s="17"/>
      <c r="C32" s="17"/>
      <c r="D32" s="21"/>
      <c r="E32" s="22"/>
    </row>
    <row r="33" spans="1:5" x14ac:dyDescent="0.25">
      <c r="A33" s="17"/>
      <c r="B33" s="17"/>
      <c r="C33" s="17"/>
      <c r="D33" s="21"/>
      <c r="E33" s="22"/>
    </row>
    <row r="34" spans="1:5" x14ac:dyDescent="0.25">
      <c r="A34" s="17"/>
      <c r="B34" s="17"/>
      <c r="C34" s="17"/>
      <c r="D34" s="21"/>
      <c r="E34" s="22"/>
    </row>
    <row r="35" spans="1:5" x14ac:dyDescent="0.25">
      <c r="A35" s="17"/>
      <c r="B35" s="17"/>
      <c r="C35" s="17"/>
      <c r="D35" s="21"/>
      <c r="E35" s="22"/>
    </row>
    <row r="36" spans="1:5" x14ac:dyDescent="0.25">
      <c r="A36" s="17"/>
      <c r="B36" s="17"/>
      <c r="C36" s="17"/>
      <c r="D36" s="21"/>
      <c r="E36" s="22"/>
    </row>
    <row r="37" spans="1:5" x14ac:dyDescent="0.25">
      <c r="A37" s="17"/>
      <c r="B37" s="17"/>
      <c r="C37" s="17"/>
      <c r="D37" s="21"/>
      <c r="E37" s="22"/>
    </row>
    <row r="38" spans="1:5" x14ac:dyDescent="0.25">
      <c r="A38" s="17"/>
      <c r="B38" s="17"/>
      <c r="C38" s="17"/>
      <c r="D38" s="21"/>
      <c r="E38" s="22"/>
    </row>
    <row r="39" spans="1:5" x14ac:dyDescent="0.25">
      <c r="A39" s="17"/>
      <c r="B39" s="17"/>
      <c r="C39" s="17"/>
      <c r="D39" s="21"/>
      <c r="E39" s="22"/>
    </row>
    <row r="40" spans="1:5" x14ac:dyDescent="0.25">
      <c r="A40" s="17"/>
      <c r="B40" s="17"/>
      <c r="C40" s="17"/>
      <c r="D40" s="21"/>
      <c r="E40" s="22"/>
    </row>
    <row r="41" spans="1:5" x14ac:dyDescent="0.25">
      <c r="A41" s="17"/>
      <c r="B41" s="17"/>
      <c r="C41" s="17"/>
      <c r="D41" s="21"/>
      <c r="E41" s="22"/>
    </row>
    <row r="42" spans="1:5" x14ac:dyDescent="0.25">
      <c r="A42" s="17"/>
      <c r="B42" s="17"/>
      <c r="C42" s="17"/>
      <c r="D42" s="21"/>
      <c r="E42" s="22"/>
    </row>
    <row r="43" spans="1:5" x14ac:dyDescent="0.25">
      <c r="A43" s="17"/>
      <c r="B43" s="17"/>
      <c r="C43" s="17"/>
      <c r="D43" s="21"/>
      <c r="E43" s="22"/>
    </row>
    <row r="44" spans="1:5" x14ac:dyDescent="0.25">
      <c r="A44" s="17"/>
      <c r="B44" s="17"/>
      <c r="C44" s="17"/>
      <c r="D44" s="21"/>
      <c r="E44" s="22"/>
    </row>
    <row r="45" spans="1:5" x14ac:dyDescent="0.25">
      <c r="A45" s="17"/>
      <c r="B45" s="17"/>
      <c r="C45" s="17"/>
      <c r="D45" s="21"/>
      <c r="E45" s="22"/>
    </row>
    <row r="46" spans="1:5" x14ac:dyDescent="0.25">
      <c r="A46" s="17"/>
      <c r="B46" s="17"/>
      <c r="C46" s="17"/>
      <c r="D46" s="21"/>
      <c r="E46" s="22"/>
    </row>
    <row r="47" spans="1:5" x14ac:dyDescent="0.25">
      <c r="A47" s="17"/>
      <c r="B47" s="17"/>
      <c r="C47" s="17"/>
      <c r="D47" s="21"/>
      <c r="E47" s="22"/>
    </row>
    <row r="48" spans="1:5" x14ac:dyDescent="0.25">
      <c r="A48" s="17"/>
      <c r="B48" s="17"/>
      <c r="C48" s="17"/>
      <c r="D48" s="21"/>
      <c r="E48" s="22"/>
    </row>
    <row r="49" spans="1:5" x14ac:dyDescent="0.25">
      <c r="A49" s="17"/>
      <c r="B49" s="17"/>
      <c r="C49" s="17"/>
      <c r="D49" s="21"/>
      <c r="E49" s="22"/>
    </row>
    <row r="50" spans="1:5" x14ac:dyDescent="0.25">
      <c r="A50" s="17"/>
      <c r="B50" s="17"/>
      <c r="C50" s="17"/>
      <c r="D50" s="21"/>
      <c r="E50" s="22"/>
    </row>
    <row r="51" spans="1:5" x14ac:dyDescent="0.25">
      <c r="A51" s="17"/>
      <c r="B51" s="17"/>
      <c r="C51" s="17"/>
      <c r="D51" s="21"/>
      <c r="E51" s="22"/>
    </row>
    <row r="52" spans="1:5" x14ac:dyDescent="0.25">
      <c r="A52" s="17"/>
      <c r="B52" s="17"/>
      <c r="C52" s="17"/>
      <c r="D52" s="21"/>
      <c r="E52" s="22"/>
    </row>
    <row r="53" spans="1:5" x14ac:dyDescent="0.25">
      <c r="A53" s="17"/>
      <c r="B53" s="17"/>
      <c r="C53" s="17"/>
      <c r="D53" s="21"/>
      <c r="E53" s="22"/>
    </row>
    <row r="54" spans="1:5" x14ac:dyDescent="0.25">
      <c r="A54" s="17"/>
      <c r="B54" s="17"/>
      <c r="C54" s="17"/>
      <c r="D54" s="21"/>
      <c r="E54" s="22"/>
    </row>
    <row r="55" spans="1:5" x14ac:dyDescent="0.25">
      <c r="A55" s="17"/>
      <c r="B55" s="17"/>
      <c r="C55" s="17"/>
      <c r="D55" s="21"/>
      <c r="E55" s="22"/>
    </row>
    <row r="56" spans="1:5" x14ac:dyDescent="0.25">
      <c r="A56" s="17"/>
      <c r="B56" s="17"/>
      <c r="C56" s="17"/>
      <c r="D56" s="21"/>
      <c r="E56" s="22"/>
    </row>
    <row r="57" spans="1:5" x14ac:dyDescent="0.25">
      <c r="A57" s="17"/>
      <c r="B57" s="17"/>
      <c r="C57" s="17"/>
      <c r="D57" s="21"/>
      <c r="E57" s="22"/>
    </row>
    <row r="58" spans="1:5" x14ac:dyDescent="0.25">
      <c r="A58" s="17"/>
      <c r="B58" s="17"/>
      <c r="C58" s="17"/>
      <c r="D58" s="21"/>
      <c r="E58" s="22"/>
    </row>
    <row r="59" spans="1:5" x14ac:dyDescent="0.25">
      <c r="A59" s="17"/>
      <c r="B59" s="17"/>
      <c r="C59" s="17"/>
      <c r="D59" s="21"/>
      <c r="E59" s="22"/>
    </row>
    <row r="60" spans="1:5" x14ac:dyDescent="0.25">
      <c r="A60" s="17"/>
      <c r="B60" s="17"/>
      <c r="C60" s="17"/>
      <c r="D60" s="21"/>
      <c r="E60" s="22"/>
    </row>
    <row r="61" spans="1:5" x14ac:dyDescent="0.25">
      <c r="A61" s="17"/>
      <c r="B61" s="17"/>
      <c r="C61" s="17"/>
      <c r="D61" s="21"/>
      <c r="E61" s="22"/>
    </row>
    <row r="62" spans="1:5" x14ac:dyDescent="0.25">
      <c r="A62" s="17"/>
      <c r="B62" s="17"/>
      <c r="C62" s="17"/>
      <c r="D62" s="21"/>
      <c r="E62" s="22"/>
    </row>
    <row r="63" spans="1:5" x14ac:dyDescent="0.25">
      <c r="A63" s="17"/>
      <c r="B63" s="17"/>
      <c r="C63" s="17"/>
      <c r="D63" s="21"/>
      <c r="E63" s="22"/>
    </row>
    <row r="64" spans="1:5" x14ac:dyDescent="0.25">
      <c r="A64" s="17"/>
      <c r="B64" s="17"/>
      <c r="C64" s="17"/>
      <c r="D64" s="21"/>
      <c r="E64" s="22"/>
    </row>
    <row r="65" spans="1:5" x14ac:dyDescent="0.25">
      <c r="A65" s="17"/>
      <c r="B65" s="17"/>
      <c r="C65" s="17"/>
      <c r="D65" s="21"/>
      <c r="E65" s="22"/>
    </row>
    <row r="66" spans="1:5" x14ac:dyDescent="0.25">
      <c r="A66" s="17"/>
      <c r="B66" s="17"/>
      <c r="C66" s="17"/>
      <c r="D66" s="21"/>
      <c r="E66" s="22"/>
    </row>
    <row r="67" spans="1:5" x14ac:dyDescent="0.25">
      <c r="A67" s="17"/>
      <c r="B67" s="17"/>
      <c r="C67" s="17"/>
      <c r="D67" s="21"/>
      <c r="E67" s="22"/>
    </row>
    <row r="68" spans="1:5" x14ac:dyDescent="0.25">
      <c r="A68" s="17"/>
      <c r="B68" s="17"/>
      <c r="C68" s="17"/>
      <c r="D68" s="21"/>
      <c r="E68" s="22"/>
    </row>
    <row r="69" spans="1:5" x14ac:dyDescent="0.25">
      <c r="A69" s="17"/>
      <c r="B69" s="17"/>
      <c r="C69" s="17"/>
      <c r="D69" s="21"/>
      <c r="E69" s="22"/>
    </row>
    <row r="70" spans="1:5" ht="16.5" x14ac:dyDescent="0.3">
      <c r="A70" s="18"/>
      <c r="B70" s="18"/>
      <c r="C70" s="18"/>
      <c r="D70" s="23"/>
      <c r="E70" s="24"/>
    </row>
    <row r="71" spans="1:5" ht="16.5" x14ac:dyDescent="0.3">
      <c r="A71" s="18"/>
      <c r="B71" s="18"/>
      <c r="C71" s="18"/>
      <c r="D71" s="23"/>
      <c r="E71" s="24"/>
    </row>
    <row r="72" spans="1:5" ht="16.5" x14ac:dyDescent="0.3">
      <c r="A72" s="18"/>
      <c r="B72" s="18"/>
      <c r="C72" s="18"/>
      <c r="D72" s="23"/>
      <c r="E72" s="24"/>
    </row>
    <row r="73" spans="1:5" ht="16.5" x14ac:dyDescent="0.3">
      <c r="A73" s="18"/>
      <c r="B73" s="18"/>
      <c r="C73" s="18"/>
      <c r="D73" s="23"/>
      <c r="E73" s="24"/>
    </row>
    <row r="74" spans="1:5" ht="16.5" x14ac:dyDescent="0.3">
      <c r="A74" s="18"/>
      <c r="B74" s="18"/>
      <c r="C74" s="18"/>
      <c r="D74" s="23"/>
      <c r="E74" s="24"/>
    </row>
    <row r="75" spans="1:5" ht="16.5" x14ac:dyDescent="0.3">
      <c r="A75" s="18"/>
      <c r="B75" s="18"/>
      <c r="C75" s="18"/>
      <c r="D75" s="23"/>
      <c r="E75" s="24"/>
    </row>
    <row r="76" spans="1:5" ht="16.5" x14ac:dyDescent="0.3">
      <c r="A76" s="18"/>
      <c r="B76" s="18"/>
      <c r="C76" s="18"/>
      <c r="D76" s="23"/>
      <c r="E76" s="24"/>
    </row>
    <row r="77" spans="1:5" ht="16.5" x14ac:dyDescent="0.3">
      <c r="A77" s="18"/>
      <c r="B77" s="18"/>
      <c r="C77" s="18"/>
      <c r="D77" s="23"/>
      <c r="E77" s="24"/>
    </row>
    <row r="78" spans="1:5" ht="16.5" x14ac:dyDescent="0.3">
      <c r="A78" s="18"/>
      <c r="B78" s="18"/>
      <c r="C78" s="18"/>
      <c r="D78" s="23"/>
      <c r="E78" s="24"/>
    </row>
    <row r="79" spans="1:5" ht="16.5" x14ac:dyDescent="0.3">
      <c r="A79" s="18"/>
      <c r="B79" s="18"/>
      <c r="C79" s="18"/>
      <c r="D79" s="23"/>
      <c r="E79" s="24"/>
    </row>
    <row r="80" spans="1:5" ht="16.5" x14ac:dyDescent="0.3">
      <c r="A80" s="18"/>
      <c r="B80" s="18"/>
      <c r="C80" s="18"/>
      <c r="D80" s="23"/>
      <c r="E80" s="24"/>
    </row>
    <row r="81" spans="1:5" ht="16.5" x14ac:dyDescent="0.3">
      <c r="A81" s="18"/>
      <c r="B81" s="18"/>
      <c r="C81" s="18"/>
      <c r="D81" s="23"/>
      <c r="E81" s="24"/>
    </row>
    <row r="82" spans="1:5" ht="16.5" x14ac:dyDescent="0.3">
      <c r="A82" s="18"/>
      <c r="B82" s="18"/>
      <c r="C82" s="18"/>
      <c r="D82" s="23"/>
      <c r="E82" s="24"/>
    </row>
    <row r="83" spans="1:5" ht="16.5" x14ac:dyDescent="0.3">
      <c r="A83" s="18"/>
      <c r="B83" s="18"/>
      <c r="C83" s="18"/>
      <c r="D83" s="23"/>
      <c r="E83" s="24"/>
    </row>
    <row r="84" spans="1:5" ht="16.5" x14ac:dyDescent="0.3">
      <c r="A84" s="18"/>
      <c r="B84" s="18"/>
      <c r="C84" s="18"/>
      <c r="D84" s="23"/>
      <c r="E84" s="24"/>
    </row>
    <row r="85" spans="1:5" ht="16.5" x14ac:dyDescent="0.3">
      <c r="A85" s="18"/>
      <c r="B85" s="18"/>
      <c r="C85" s="18"/>
      <c r="D85" s="23"/>
      <c r="E85" s="24"/>
    </row>
    <row r="86" spans="1:5" ht="16.5" x14ac:dyDescent="0.3">
      <c r="A86" s="18"/>
      <c r="B86" s="18"/>
      <c r="C86" s="18"/>
      <c r="D86" s="23"/>
      <c r="E86" s="24"/>
    </row>
    <row r="87" spans="1:5" ht="16.5" x14ac:dyDescent="0.3">
      <c r="A87" s="18"/>
      <c r="B87" s="18"/>
      <c r="C87" s="18"/>
      <c r="D87" s="23"/>
      <c r="E87" s="24"/>
    </row>
    <row r="88" spans="1:5" ht="16.5" x14ac:dyDescent="0.3">
      <c r="A88" s="18"/>
      <c r="B88" s="18"/>
      <c r="C88" s="18"/>
      <c r="D88" s="23"/>
      <c r="E88" s="24"/>
    </row>
    <row r="89" spans="1:5" ht="16.5" x14ac:dyDescent="0.3">
      <c r="A89" s="18"/>
      <c r="B89" s="18"/>
      <c r="C89" s="18"/>
      <c r="D89" s="23"/>
      <c r="E89" s="24"/>
    </row>
    <row r="90" spans="1:5" ht="16.5" x14ac:dyDescent="0.3">
      <c r="A90" s="18"/>
      <c r="B90" s="18"/>
      <c r="C90" s="18"/>
      <c r="D90" s="23"/>
      <c r="E90" s="24"/>
    </row>
    <row r="91" spans="1:5" ht="16.5" x14ac:dyDescent="0.3">
      <c r="A91" s="18"/>
      <c r="B91" s="18"/>
      <c r="C91" s="18"/>
      <c r="D91" s="23"/>
      <c r="E91" s="24"/>
    </row>
    <row r="92" spans="1:5" ht="16.5" x14ac:dyDescent="0.3">
      <c r="A92" s="18"/>
      <c r="B92" s="18"/>
      <c r="C92" s="18"/>
      <c r="D92" s="23"/>
      <c r="E92" s="24"/>
    </row>
    <row r="93" spans="1:5" ht="16.5" x14ac:dyDescent="0.3">
      <c r="A93" s="18"/>
      <c r="B93" s="18"/>
      <c r="C93" s="18"/>
      <c r="D93" s="23"/>
      <c r="E93" s="24"/>
    </row>
    <row r="94" spans="1:5" ht="16.5" x14ac:dyDescent="0.3">
      <c r="A94" s="18"/>
      <c r="B94" s="18"/>
      <c r="C94" s="18"/>
      <c r="D94" s="23"/>
      <c r="E94" s="24"/>
    </row>
    <row r="95" spans="1:5" ht="16.5" x14ac:dyDescent="0.3">
      <c r="A95" s="18"/>
      <c r="B95" s="18"/>
      <c r="C95" s="18"/>
      <c r="D95" s="23"/>
      <c r="E95" s="24"/>
    </row>
    <row r="96" spans="1:5" ht="16.5" x14ac:dyDescent="0.3">
      <c r="A96" s="18"/>
      <c r="B96" s="18"/>
      <c r="C96" s="18"/>
      <c r="D96" s="23"/>
      <c r="E96" s="24"/>
    </row>
    <row r="97" spans="1:5" ht="16.5" x14ac:dyDescent="0.3">
      <c r="A97" s="18"/>
      <c r="B97" s="18"/>
      <c r="C97" s="18"/>
      <c r="D97" s="23"/>
      <c r="E97" s="24"/>
    </row>
    <row r="98" spans="1:5" ht="16.5" x14ac:dyDescent="0.3">
      <c r="A98" s="18"/>
      <c r="B98" s="18"/>
      <c r="C98" s="18"/>
      <c r="D98" s="23"/>
      <c r="E98" s="24"/>
    </row>
    <row r="99" spans="1:5" ht="16.5" x14ac:dyDescent="0.3">
      <c r="A99" s="18"/>
      <c r="B99" s="18"/>
      <c r="C99" s="18"/>
      <c r="D99" s="23"/>
      <c r="E99" s="24"/>
    </row>
    <row r="100" spans="1:5" ht="16.5" x14ac:dyDescent="0.3">
      <c r="A100" s="18"/>
      <c r="B100" s="18"/>
      <c r="C100" s="18"/>
      <c r="D100" s="23"/>
      <c r="E100" s="24"/>
    </row>
    <row r="101" spans="1:5" ht="16.5" x14ac:dyDescent="0.3">
      <c r="A101" s="18"/>
      <c r="B101" s="18"/>
      <c r="C101" s="18"/>
      <c r="D101" s="23"/>
      <c r="E101" s="24"/>
    </row>
    <row r="102" spans="1:5" ht="16.5" x14ac:dyDescent="0.3">
      <c r="A102" s="18"/>
      <c r="B102" s="18"/>
      <c r="C102" s="18"/>
      <c r="D102" s="23"/>
      <c r="E102" s="24"/>
    </row>
    <row r="103" spans="1:5" ht="16.5" x14ac:dyDescent="0.3">
      <c r="A103" s="18"/>
      <c r="B103" s="18"/>
      <c r="C103" s="18"/>
      <c r="D103" s="23"/>
      <c r="E103" s="24"/>
    </row>
    <row r="104" spans="1:5" ht="16.5" x14ac:dyDescent="0.3">
      <c r="A104" s="18"/>
      <c r="B104" s="18"/>
      <c r="C104" s="18"/>
      <c r="D104" s="23"/>
      <c r="E104" s="24"/>
    </row>
    <row r="105" spans="1:5" ht="16.5" x14ac:dyDescent="0.3">
      <c r="A105" s="18"/>
      <c r="B105" s="18"/>
      <c r="C105" s="18"/>
      <c r="D105" s="23"/>
      <c r="E105" s="24"/>
    </row>
    <row r="106" spans="1:5" ht="16.5" x14ac:dyDescent="0.3">
      <c r="A106" s="18"/>
      <c r="B106" s="18"/>
      <c r="C106" s="18"/>
      <c r="D106" s="23"/>
      <c r="E106" s="24"/>
    </row>
    <row r="107" spans="1:5" ht="16.5" x14ac:dyDescent="0.3">
      <c r="A107" s="18"/>
      <c r="B107" s="18"/>
      <c r="C107" s="18"/>
      <c r="D107" s="23"/>
      <c r="E107" s="24"/>
    </row>
    <row r="108" spans="1:5" ht="16.5" x14ac:dyDescent="0.3">
      <c r="A108" s="18"/>
      <c r="B108" s="18"/>
      <c r="C108" s="18"/>
      <c r="D108" s="23"/>
      <c r="E108" s="24"/>
    </row>
    <row r="109" spans="1:5" ht="16.5" x14ac:dyDescent="0.3">
      <c r="A109" s="18"/>
      <c r="B109" s="18"/>
      <c r="C109" s="18"/>
      <c r="D109" s="23"/>
      <c r="E109" s="24"/>
    </row>
    <row r="110" spans="1:5" ht="16.5" x14ac:dyDescent="0.3">
      <c r="A110" s="18"/>
      <c r="B110" s="18"/>
      <c r="C110" s="18"/>
      <c r="D110" s="23"/>
      <c r="E110" s="24"/>
    </row>
    <row r="111" spans="1:5" ht="16.5" x14ac:dyDescent="0.3">
      <c r="A111" s="18"/>
      <c r="B111" s="18"/>
      <c r="C111" s="18"/>
      <c r="D111" s="23"/>
      <c r="E111" s="24"/>
    </row>
    <row r="112" spans="1:5" ht="16.5" x14ac:dyDescent="0.3">
      <c r="A112" s="18"/>
      <c r="B112" s="18"/>
      <c r="C112" s="18"/>
      <c r="D112" s="23"/>
      <c r="E112" s="24"/>
    </row>
    <row r="113" spans="1:5" ht="16.5" x14ac:dyDescent="0.3">
      <c r="A113" s="18"/>
      <c r="B113" s="18"/>
      <c r="C113" s="18"/>
      <c r="D113" s="23"/>
      <c r="E113" s="24"/>
    </row>
    <row r="114" spans="1:5" ht="16.5" x14ac:dyDescent="0.3">
      <c r="A114" s="18"/>
      <c r="B114" s="18"/>
      <c r="C114" s="18"/>
      <c r="D114" s="23"/>
      <c r="E114" s="24"/>
    </row>
    <row r="115" spans="1:5" ht="16.5" x14ac:dyDescent="0.3">
      <c r="A115" s="18"/>
      <c r="B115" s="18"/>
      <c r="C115" s="18"/>
      <c r="D115" s="23"/>
      <c r="E115" s="24"/>
    </row>
    <row r="116" spans="1:5" ht="16.5" x14ac:dyDescent="0.3">
      <c r="A116" s="18"/>
      <c r="B116" s="18"/>
      <c r="C116" s="18"/>
      <c r="D116" s="23"/>
      <c r="E116" s="24"/>
    </row>
    <row r="117" spans="1:5" ht="16.5" x14ac:dyDescent="0.3">
      <c r="A117" s="18"/>
      <c r="B117" s="18"/>
      <c r="C117" s="18"/>
      <c r="D117" s="23"/>
      <c r="E117" s="24"/>
    </row>
    <row r="118" spans="1:5" ht="16.5" x14ac:dyDescent="0.3">
      <c r="A118" s="18"/>
      <c r="B118" s="18"/>
      <c r="C118" s="18"/>
      <c r="D118" s="23"/>
      <c r="E118" s="24"/>
    </row>
    <row r="119" spans="1:5" ht="16.5" x14ac:dyDescent="0.3">
      <c r="A119" s="18"/>
      <c r="B119" s="18"/>
      <c r="C119" s="18"/>
      <c r="D119" s="23"/>
      <c r="E119" s="24"/>
    </row>
    <row r="120" spans="1:5" ht="16.5" x14ac:dyDescent="0.3">
      <c r="A120" s="18"/>
      <c r="B120" s="18"/>
      <c r="C120" s="18"/>
      <c r="D120" s="23"/>
      <c r="E120" s="24"/>
    </row>
    <row r="121" spans="1:5" ht="16.5" x14ac:dyDescent="0.3">
      <c r="A121" s="18"/>
      <c r="B121" s="18"/>
      <c r="C121" s="18"/>
      <c r="D121" s="23"/>
      <c r="E121" s="24"/>
    </row>
    <row r="122" spans="1:5" ht="16.5" x14ac:dyDescent="0.3">
      <c r="A122" s="18"/>
      <c r="B122" s="18"/>
      <c r="C122" s="18"/>
      <c r="D122" s="23"/>
      <c r="E122" s="24"/>
    </row>
    <row r="123" spans="1:5" ht="16.5" x14ac:dyDescent="0.3">
      <c r="A123" s="18"/>
      <c r="B123" s="18"/>
      <c r="C123" s="18"/>
      <c r="D123" s="23"/>
      <c r="E123" s="24"/>
    </row>
    <row r="124" spans="1:5" ht="16.5" x14ac:dyDescent="0.3">
      <c r="A124" s="18"/>
      <c r="B124" s="18"/>
      <c r="C124" s="18"/>
      <c r="D124" s="23"/>
      <c r="E124" s="24"/>
    </row>
    <row r="125" spans="1:5" ht="16.5" x14ac:dyDescent="0.3">
      <c r="A125" s="18"/>
      <c r="B125" s="18"/>
      <c r="C125" s="18"/>
      <c r="D125" s="23"/>
      <c r="E125" s="24"/>
    </row>
    <row r="126" spans="1:5" ht="16.5" x14ac:dyDescent="0.3">
      <c r="A126" s="18"/>
      <c r="B126" s="18"/>
      <c r="C126" s="18"/>
      <c r="D126" s="23"/>
      <c r="E126" s="24"/>
    </row>
    <row r="127" spans="1:5" ht="16.5" x14ac:dyDescent="0.3">
      <c r="A127" s="18"/>
      <c r="B127" s="18"/>
      <c r="C127" s="18"/>
      <c r="D127" s="23"/>
      <c r="E127" s="24"/>
    </row>
    <row r="128" spans="1:5" ht="16.5" x14ac:dyDescent="0.3">
      <c r="A128" s="18"/>
      <c r="B128" s="18"/>
      <c r="C128" s="18"/>
      <c r="D128" s="23"/>
      <c r="E128" s="24"/>
    </row>
    <row r="129" spans="1:5" ht="16.5" x14ac:dyDescent="0.3">
      <c r="A129" s="18"/>
      <c r="B129" s="18"/>
      <c r="C129" s="18"/>
      <c r="D129" s="23"/>
      <c r="E129" s="24"/>
    </row>
    <row r="130" spans="1:5" ht="16.5" x14ac:dyDescent="0.3">
      <c r="A130" s="18"/>
      <c r="B130" s="18"/>
      <c r="C130" s="18"/>
      <c r="D130" s="23"/>
      <c r="E130" s="24"/>
    </row>
    <row r="131" spans="1:5" ht="16.5" x14ac:dyDescent="0.3">
      <c r="A131" s="18"/>
      <c r="B131" s="18"/>
      <c r="C131" s="18"/>
      <c r="D131" s="23"/>
      <c r="E131" s="24"/>
    </row>
    <row r="132" spans="1:5" ht="16.5" x14ac:dyDescent="0.3">
      <c r="A132" s="18"/>
      <c r="B132" s="18"/>
      <c r="C132" s="18"/>
      <c r="D132" s="23"/>
      <c r="E132" s="24"/>
    </row>
    <row r="133" spans="1:5" ht="16.5" x14ac:dyDescent="0.3">
      <c r="A133" s="18"/>
      <c r="B133" s="18"/>
      <c r="C133" s="18"/>
      <c r="D133" s="23"/>
      <c r="E133" s="24"/>
    </row>
    <row r="134" spans="1:5" ht="16.5" x14ac:dyDescent="0.3">
      <c r="A134" s="18"/>
      <c r="B134" s="18"/>
      <c r="C134" s="18"/>
      <c r="D134" s="23"/>
      <c r="E134" s="24"/>
    </row>
    <row r="135" spans="1:5" ht="16.5" x14ac:dyDescent="0.3">
      <c r="A135" s="18"/>
      <c r="B135" s="18"/>
      <c r="C135" s="18"/>
      <c r="D135" s="23"/>
      <c r="E135" s="24"/>
    </row>
    <row r="136" spans="1:5" ht="16.5" x14ac:dyDescent="0.3">
      <c r="A136" s="18"/>
      <c r="B136" s="18"/>
      <c r="C136" s="18"/>
      <c r="D136" s="23"/>
      <c r="E136" s="24"/>
    </row>
    <row r="137" spans="1:5" ht="16.5" x14ac:dyDescent="0.3">
      <c r="A137" s="18"/>
      <c r="B137" s="18"/>
      <c r="C137" s="18"/>
      <c r="D137" s="23"/>
      <c r="E137" s="24"/>
    </row>
    <row r="138" spans="1:5" ht="16.5" x14ac:dyDescent="0.3">
      <c r="A138" s="18"/>
      <c r="B138" s="18"/>
      <c r="C138" s="18"/>
      <c r="D138" s="23"/>
      <c r="E138" s="24"/>
    </row>
    <row r="139" spans="1:5" ht="16.5" x14ac:dyDescent="0.3">
      <c r="A139" s="18"/>
      <c r="B139" s="18"/>
      <c r="C139" s="18"/>
      <c r="D139" s="23"/>
      <c r="E139" s="24"/>
    </row>
    <row r="140" spans="1:5" ht="16.5" x14ac:dyDescent="0.3">
      <c r="A140" s="18"/>
      <c r="B140" s="18"/>
      <c r="C140" s="18"/>
      <c r="D140" s="23"/>
      <c r="E140" s="24"/>
    </row>
    <row r="141" spans="1:5" ht="16.5" x14ac:dyDescent="0.3">
      <c r="A141" s="18"/>
      <c r="B141" s="18"/>
      <c r="C141" s="18"/>
      <c r="D141" s="23"/>
      <c r="E141" s="24"/>
    </row>
    <row r="142" spans="1:5" ht="16.5" x14ac:dyDescent="0.3">
      <c r="A142" s="18"/>
      <c r="B142" s="18"/>
      <c r="C142" s="18"/>
      <c r="D142" s="23"/>
      <c r="E142" s="24"/>
    </row>
    <row r="143" spans="1:5" ht="16.5" x14ac:dyDescent="0.3">
      <c r="A143" s="18"/>
      <c r="B143" s="18"/>
      <c r="C143" s="18"/>
      <c r="D143" s="23"/>
      <c r="E143" s="24"/>
    </row>
    <row r="144" spans="1:5" ht="16.5" x14ac:dyDescent="0.3">
      <c r="A144" s="18"/>
      <c r="B144" s="18"/>
      <c r="C144" s="18"/>
      <c r="D144" s="23"/>
      <c r="E144" s="24"/>
    </row>
    <row r="145" spans="1:5" ht="16.5" x14ac:dyDescent="0.3">
      <c r="A145" s="18"/>
      <c r="B145" s="18"/>
      <c r="C145" s="18"/>
      <c r="D145" s="23"/>
      <c r="E145" s="24"/>
    </row>
    <row r="146" spans="1:5" ht="16.5" x14ac:dyDescent="0.3">
      <c r="A146" s="18"/>
      <c r="B146" s="18"/>
      <c r="C146" s="18"/>
      <c r="D146" s="23"/>
      <c r="E146" s="24"/>
    </row>
    <row r="147" spans="1:5" ht="16.5" x14ac:dyDescent="0.3">
      <c r="A147" s="18"/>
      <c r="B147" s="18"/>
      <c r="C147" s="18"/>
      <c r="D147" s="23"/>
      <c r="E147" s="24"/>
    </row>
    <row r="148" spans="1:5" ht="16.5" x14ac:dyDescent="0.3">
      <c r="A148" s="18"/>
      <c r="B148" s="18"/>
      <c r="C148" s="18"/>
      <c r="D148" s="23"/>
      <c r="E148" s="24"/>
    </row>
    <row r="149" spans="1:5" ht="16.5" x14ac:dyDescent="0.3">
      <c r="A149" s="18"/>
      <c r="B149" s="18"/>
      <c r="C149" s="18"/>
      <c r="D149" s="23"/>
      <c r="E149" s="24"/>
    </row>
    <row r="150" spans="1:5" ht="16.5" x14ac:dyDescent="0.3">
      <c r="A150" s="18"/>
      <c r="B150" s="18"/>
      <c r="C150" s="18"/>
      <c r="D150" s="23"/>
      <c r="E150" s="24"/>
    </row>
    <row r="151" spans="1:5" ht="16.5" x14ac:dyDescent="0.3">
      <c r="A151" s="18"/>
      <c r="B151" s="18"/>
      <c r="C151" s="18"/>
      <c r="D151" s="23"/>
      <c r="E151" s="24"/>
    </row>
    <row r="152" spans="1:5" ht="16.5" x14ac:dyDescent="0.3">
      <c r="A152" s="18"/>
      <c r="B152" s="18"/>
      <c r="C152" s="18"/>
      <c r="D152" s="23"/>
      <c r="E152" s="24"/>
    </row>
    <row r="153" spans="1:5" ht="16.5" x14ac:dyDescent="0.3">
      <c r="A153" s="18"/>
      <c r="B153" s="18"/>
      <c r="C153" s="18"/>
      <c r="D153" s="23"/>
      <c r="E153" s="24"/>
    </row>
    <row r="154" spans="1:5" ht="16.5" x14ac:dyDescent="0.3">
      <c r="A154" s="18"/>
      <c r="B154" s="18"/>
      <c r="C154" s="18"/>
      <c r="D154" s="23"/>
      <c r="E154" s="24"/>
    </row>
    <row r="155" spans="1:5" ht="16.5" x14ac:dyDescent="0.3">
      <c r="A155" s="18"/>
      <c r="B155" s="18"/>
      <c r="C155" s="18"/>
      <c r="D155" s="23"/>
      <c r="E155" s="24"/>
    </row>
    <row r="156" spans="1:5" ht="16.5" x14ac:dyDescent="0.3">
      <c r="A156" s="18"/>
      <c r="B156" s="18"/>
      <c r="C156" s="18"/>
      <c r="D156" s="23"/>
      <c r="E156" s="24"/>
    </row>
    <row r="157" spans="1:5" ht="16.5" x14ac:dyDescent="0.3">
      <c r="A157" s="18"/>
      <c r="B157" s="18"/>
      <c r="C157" s="18"/>
      <c r="D157" s="23"/>
      <c r="E157" s="24"/>
    </row>
    <row r="158" spans="1:5" ht="16.5" x14ac:dyDescent="0.3">
      <c r="A158" s="18"/>
      <c r="B158" s="18"/>
      <c r="C158" s="18"/>
      <c r="D158" s="23"/>
      <c r="E158" s="24"/>
    </row>
    <row r="159" spans="1:5" ht="16.5" x14ac:dyDescent="0.3">
      <c r="A159" s="18"/>
      <c r="B159" s="18"/>
      <c r="C159" s="18"/>
      <c r="D159" s="23"/>
      <c r="E159" s="24"/>
    </row>
    <row r="160" spans="1:5" ht="16.5" x14ac:dyDescent="0.3">
      <c r="A160" s="18"/>
      <c r="B160" s="18"/>
      <c r="C160" s="18"/>
      <c r="D160" s="23"/>
      <c r="E160" s="24"/>
    </row>
    <row r="161" spans="1:5" ht="16.5" x14ac:dyDescent="0.3">
      <c r="A161" s="18"/>
      <c r="B161" s="18"/>
      <c r="C161" s="18"/>
      <c r="D161" s="23"/>
      <c r="E161" s="24"/>
    </row>
    <row r="162" spans="1:5" ht="16.5" x14ac:dyDescent="0.3">
      <c r="A162" s="18"/>
      <c r="B162" s="18"/>
      <c r="C162" s="18"/>
      <c r="D162" s="23"/>
      <c r="E162" s="24"/>
    </row>
    <row r="163" spans="1:5" ht="16.5" x14ac:dyDescent="0.3">
      <c r="A163" s="18"/>
      <c r="B163" s="18"/>
      <c r="C163" s="18"/>
      <c r="D163" s="23"/>
      <c r="E163" s="24"/>
    </row>
    <row r="164" spans="1:5" ht="16.5" x14ac:dyDescent="0.3">
      <c r="A164" s="18"/>
      <c r="B164" s="18"/>
      <c r="C164" s="18"/>
      <c r="D164" s="23"/>
      <c r="E164" s="24"/>
    </row>
    <row r="165" spans="1:5" ht="16.5" x14ac:dyDescent="0.3">
      <c r="A165" s="18"/>
      <c r="B165" s="18"/>
      <c r="C165" s="18"/>
      <c r="D165" s="23"/>
      <c r="E165" s="24"/>
    </row>
    <row r="166" spans="1:5" ht="16.5" x14ac:dyDescent="0.3">
      <c r="A166" s="18"/>
      <c r="B166" s="18"/>
      <c r="C166" s="18"/>
      <c r="D166" s="23"/>
      <c r="E166" s="24"/>
    </row>
    <row r="167" spans="1:5" ht="16.5" x14ac:dyDescent="0.3">
      <c r="A167" s="18"/>
      <c r="B167" s="18"/>
      <c r="C167" s="18"/>
      <c r="D167" s="23"/>
      <c r="E167" s="24"/>
    </row>
    <row r="168" spans="1:5" ht="16.5" x14ac:dyDescent="0.3">
      <c r="A168" s="18"/>
      <c r="B168" s="18"/>
      <c r="C168" s="18"/>
      <c r="D168" s="23"/>
      <c r="E168" s="24"/>
    </row>
    <row r="169" spans="1:5" ht="16.5" x14ac:dyDescent="0.3">
      <c r="A169" s="18"/>
      <c r="B169" s="18"/>
      <c r="C169" s="18"/>
      <c r="D169" s="23"/>
      <c r="E169" s="24"/>
    </row>
    <row r="170" spans="1:5" ht="16.5" x14ac:dyDescent="0.3">
      <c r="A170" s="18"/>
      <c r="B170" s="18"/>
      <c r="C170" s="18"/>
      <c r="D170" s="23"/>
      <c r="E170" s="24"/>
    </row>
  </sheetData>
  <sheetProtection algorithmName="SHA-512" hashValue="SilxyeawvH090Bqu88ELlmNgN5fNHS4wYhRGlBMHq/GVXAmf7mvE+z88Pj2aA1fQyEDth3ZL7mUoUQRpWu1KTg==" saltValue="0OZzcACWbX7ex2ta2Inv3w==" spinCount="100000" sheet="1" objects="1" scenarios="1"/>
  <mergeCells count="4">
    <mergeCell ref="A1:E1"/>
    <mergeCell ref="A2:E2"/>
    <mergeCell ref="A3:E3"/>
    <mergeCell ref="A14:E1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8094-BFED-4D81-BA3C-783DC740C98F}">
  <sheetPr codeName="Hoja10"/>
  <dimension ref="A1:I16"/>
  <sheetViews>
    <sheetView tabSelected="1" workbookViewId="0">
      <selection activeCell="B4" sqref="B4:C19"/>
    </sheetView>
  </sheetViews>
  <sheetFormatPr baseColWidth="10" defaultRowHeight="15" x14ac:dyDescent="0.25"/>
  <cols>
    <col min="3" max="3" width="24.28515625" customWidth="1"/>
    <col min="7" max="7" width="11.85546875" bestFit="1" customWidth="1"/>
  </cols>
  <sheetData>
    <row r="1" spans="1:9" ht="21" x14ac:dyDescent="0.35">
      <c r="A1" s="29" t="s">
        <v>101</v>
      </c>
      <c r="B1" s="29"/>
      <c r="C1" s="29"/>
      <c r="D1" s="29"/>
      <c r="E1" s="29"/>
      <c r="F1" s="29"/>
    </row>
    <row r="2" spans="1:9" x14ac:dyDescent="0.25">
      <c r="A2" s="30" t="s">
        <v>221</v>
      </c>
      <c r="B2" s="30"/>
      <c r="C2" s="30"/>
      <c r="D2" s="30"/>
      <c r="E2" s="30"/>
      <c r="F2" s="30"/>
    </row>
    <row r="3" spans="1:9" x14ac:dyDescent="0.25">
      <c r="A3" s="3" t="s">
        <v>19</v>
      </c>
      <c r="B3" s="4" t="s">
        <v>0</v>
      </c>
      <c r="C3" s="4" t="s">
        <v>67</v>
      </c>
      <c r="D3" s="6" t="s">
        <v>82</v>
      </c>
      <c r="E3" s="7" t="s">
        <v>83</v>
      </c>
      <c r="F3" s="11" t="s">
        <v>84</v>
      </c>
      <c r="G3" s="31" t="s">
        <v>159</v>
      </c>
      <c r="H3" s="31"/>
      <c r="I3" s="31"/>
    </row>
    <row r="4" spans="1:9" x14ac:dyDescent="0.25">
      <c r="A4" t="s">
        <v>218</v>
      </c>
      <c r="B4">
        <v>1</v>
      </c>
      <c r="C4" t="s">
        <v>115</v>
      </c>
      <c r="D4">
        <v>10</v>
      </c>
      <c r="E4">
        <v>5</v>
      </c>
      <c r="F4">
        <v>5</v>
      </c>
      <c r="G4" s="12">
        <f>SUMIFS(ComprasDetalle!E:E,ComprasDetalle!D:D,Inventario!C4)</f>
        <v>10</v>
      </c>
      <c r="H4" s="12">
        <f>SUMIFS(VentasDetalle!E:E,VentasDetalle!D:D,Inventario!C4)</f>
        <v>5</v>
      </c>
      <c r="I4" s="12">
        <f>G4-H4</f>
        <v>5</v>
      </c>
    </row>
    <row r="5" spans="1:9" x14ac:dyDescent="0.25">
      <c r="A5" t="s">
        <v>218</v>
      </c>
      <c r="B5">
        <v>2</v>
      </c>
      <c r="C5" t="s">
        <v>119</v>
      </c>
      <c r="D5">
        <v>35</v>
      </c>
      <c r="E5">
        <v>9</v>
      </c>
      <c r="F5">
        <v>26</v>
      </c>
      <c r="G5" s="12">
        <f>SUMIFS(ComprasDetalle!E:E,ComprasDetalle!D:D,Inventario!C5)</f>
        <v>35</v>
      </c>
      <c r="H5" s="12">
        <f>SUMIFS(VentasDetalle!E:E,VentasDetalle!D:D,Inventario!C5)</f>
        <v>9</v>
      </c>
      <c r="I5" s="12">
        <f>G5-H5</f>
        <v>26</v>
      </c>
    </row>
    <row r="6" spans="1:9" x14ac:dyDescent="0.25">
      <c r="A6" t="s">
        <v>218</v>
      </c>
      <c r="B6">
        <v>3</v>
      </c>
      <c r="C6" t="s">
        <v>120</v>
      </c>
      <c r="D6">
        <v>20</v>
      </c>
      <c r="E6">
        <v>8</v>
      </c>
      <c r="F6">
        <v>12</v>
      </c>
      <c r="G6" s="12">
        <f>SUMIFS(ComprasDetalle!E:E,ComprasDetalle!D:D,Inventario!C6)</f>
        <v>20</v>
      </c>
      <c r="H6" s="12">
        <f>SUMIFS(VentasDetalle!E:E,VentasDetalle!D:D,Inventario!C6)</f>
        <v>8</v>
      </c>
      <c r="I6" s="12">
        <f t="shared" ref="I6:I13" si="0">G6-H6</f>
        <v>12</v>
      </c>
    </row>
    <row r="7" spans="1:9" x14ac:dyDescent="0.25">
      <c r="A7" t="s">
        <v>218</v>
      </c>
      <c r="B7">
        <v>13</v>
      </c>
      <c r="C7" t="s">
        <v>139</v>
      </c>
      <c r="D7">
        <v>20</v>
      </c>
      <c r="E7">
        <v>0</v>
      </c>
      <c r="F7">
        <v>20</v>
      </c>
      <c r="G7" s="12">
        <f>SUMIFS(ComprasDetalle!E:E,ComprasDetalle!D:D,Inventario!C7)</f>
        <v>20</v>
      </c>
      <c r="H7" s="12">
        <f>SUMIFS(VentasDetalle!E:E,VentasDetalle!D:D,Inventario!C7)</f>
        <v>0</v>
      </c>
      <c r="I7" s="12">
        <f t="shared" si="0"/>
        <v>20</v>
      </c>
    </row>
    <row r="8" spans="1:9" x14ac:dyDescent="0.25">
      <c r="A8" t="s">
        <v>218</v>
      </c>
      <c r="B8">
        <v>11</v>
      </c>
      <c r="C8" t="s">
        <v>135</v>
      </c>
      <c r="D8">
        <v>25</v>
      </c>
      <c r="E8">
        <v>0</v>
      </c>
      <c r="F8">
        <v>25</v>
      </c>
      <c r="G8" s="12">
        <f>SUMIFS(ComprasDetalle!E:E,ComprasDetalle!D:D,Inventario!C8)</f>
        <v>25</v>
      </c>
      <c r="H8" s="12">
        <f>SUMIFS(VentasDetalle!E:E,VentasDetalle!D:D,Inventario!C8)</f>
        <v>0</v>
      </c>
      <c r="I8" s="12">
        <f t="shared" si="0"/>
        <v>25</v>
      </c>
    </row>
    <row r="9" spans="1:9" x14ac:dyDescent="0.25">
      <c r="A9" t="s">
        <v>218</v>
      </c>
      <c r="B9">
        <v>4</v>
      </c>
      <c r="C9" t="s">
        <v>121</v>
      </c>
      <c r="D9">
        <v>15</v>
      </c>
      <c r="E9">
        <v>11</v>
      </c>
      <c r="F9">
        <v>4</v>
      </c>
      <c r="G9" s="12">
        <f>SUMIFS(ComprasDetalle!E:E,ComprasDetalle!D:D,Inventario!C9)</f>
        <v>15</v>
      </c>
      <c r="H9" s="12">
        <f>SUMIFS(VentasDetalle!E:E,VentasDetalle!D:D,Inventario!C9)</f>
        <v>11</v>
      </c>
      <c r="I9" s="12">
        <f t="shared" si="0"/>
        <v>4</v>
      </c>
    </row>
    <row r="10" spans="1:9" x14ac:dyDescent="0.25">
      <c r="A10" t="s">
        <v>218</v>
      </c>
      <c r="B10">
        <v>5</v>
      </c>
      <c r="C10" t="s">
        <v>123</v>
      </c>
      <c r="D10">
        <v>8</v>
      </c>
      <c r="E10">
        <v>2</v>
      </c>
      <c r="F10">
        <v>6</v>
      </c>
      <c r="G10" s="12">
        <f>SUMIFS(ComprasDetalle!E:E,ComprasDetalle!D:D,Inventario!C10)</f>
        <v>8</v>
      </c>
      <c r="H10" s="12">
        <f>SUMIFS(VentasDetalle!E:E,VentasDetalle!D:D,Inventario!C10)</f>
        <v>2</v>
      </c>
      <c r="I10" s="12">
        <f t="shared" si="0"/>
        <v>6</v>
      </c>
    </row>
    <row r="11" spans="1:9" x14ac:dyDescent="0.25">
      <c r="A11" t="s">
        <v>218</v>
      </c>
      <c r="B11">
        <v>6</v>
      </c>
      <c r="C11" t="s">
        <v>125</v>
      </c>
      <c r="D11">
        <v>20</v>
      </c>
      <c r="E11">
        <v>0</v>
      </c>
      <c r="F11">
        <v>20</v>
      </c>
      <c r="G11" s="12">
        <f>SUMIFS(ComprasDetalle!E:E,ComprasDetalle!D:D,Inventario!C11)</f>
        <v>20</v>
      </c>
      <c r="H11" s="12">
        <f>SUMIFS(VentasDetalle!E:E,VentasDetalle!D:D,Inventario!C11)</f>
        <v>0</v>
      </c>
      <c r="I11" s="12">
        <f t="shared" si="0"/>
        <v>20</v>
      </c>
    </row>
    <row r="12" spans="1:9" x14ac:dyDescent="0.25">
      <c r="A12" t="s">
        <v>218</v>
      </c>
      <c r="B12">
        <v>10</v>
      </c>
      <c r="C12" t="s">
        <v>133</v>
      </c>
      <c r="D12">
        <v>30</v>
      </c>
      <c r="E12">
        <v>0</v>
      </c>
      <c r="F12">
        <v>30</v>
      </c>
      <c r="G12" s="12">
        <f>SUMIFS(ComprasDetalle!E:E,ComprasDetalle!D:D,Inventario!C12)</f>
        <v>30</v>
      </c>
      <c r="H12" s="12">
        <f>SUMIFS(VentasDetalle!E:E,VentasDetalle!D:D,Inventario!C12)</f>
        <v>0</v>
      </c>
      <c r="I12" s="12">
        <f t="shared" si="0"/>
        <v>30</v>
      </c>
    </row>
    <row r="13" spans="1:9" x14ac:dyDescent="0.25">
      <c r="A13" t="s">
        <v>218</v>
      </c>
      <c r="B13">
        <v>9</v>
      </c>
      <c r="C13" t="s">
        <v>131</v>
      </c>
      <c r="D13">
        <v>15</v>
      </c>
      <c r="E13">
        <v>0</v>
      </c>
      <c r="F13">
        <v>15</v>
      </c>
      <c r="G13" s="12">
        <f>SUMIFS(ComprasDetalle!E:E,ComprasDetalle!D:D,Inventario!C13)</f>
        <v>15</v>
      </c>
      <c r="H13" s="12">
        <f>SUMIFS(VentasDetalle!E:E,VentasDetalle!D:D,Inventario!C13)</f>
        <v>0</v>
      </c>
      <c r="I13" s="12">
        <f t="shared" si="0"/>
        <v>15</v>
      </c>
    </row>
    <row r="14" spans="1:9" x14ac:dyDescent="0.25">
      <c r="A14" t="s">
        <v>218</v>
      </c>
      <c r="B14">
        <v>15</v>
      </c>
      <c r="C14" t="s">
        <v>165</v>
      </c>
      <c r="D14">
        <v>3</v>
      </c>
      <c r="E14">
        <v>0</v>
      </c>
      <c r="F14">
        <v>3</v>
      </c>
      <c r="G14" s="12">
        <f>SUMIFS(ComprasDetalle!E:E,ComprasDetalle!D:D,Inventario!C14)</f>
        <v>3</v>
      </c>
      <c r="H14" s="12">
        <f>SUMIFS(VentasDetalle!E:E,VentasDetalle!D:D,Inventario!C14)</f>
        <v>0</v>
      </c>
      <c r="I14" s="12">
        <f t="shared" ref="I14:I15" si="1">G14-H14</f>
        <v>3</v>
      </c>
    </row>
    <row r="15" spans="1:9" x14ac:dyDescent="0.25">
      <c r="A15" t="s">
        <v>218</v>
      </c>
      <c r="B15">
        <v>16</v>
      </c>
      <c r="C15" t="s">
        <v>184</v>
      </c>
      <c r="D15">
        <v>10</v>
      </c>
      <c r="E15">
        <v>4</v>
      </c>
      <c r="F15">
        <v>6</v>
      </c>
      <c r="G15" s="12">
        <f>SUMIFS(ComprasDetalle!E:E,ComprasDetalle!D:D,Inventario!C15)</f>
        <v>10</v>
      </c>
      <c r="H15" s="12">
        <f>SUMIFS(VentasDetalle!E:E,VentasDetalle!D:D,Inventario!C15)</f>
        <v>4</v>
      </c>
      <c r="I15" s="12">
        <f t="shared" si="1"/>
        <v>6</v>
      </c>
    </row>
    <row r="16" spans="1:9" x14ac:dyDescent="0.25">
      <c r="A16" t="s">
        <v>218</v>
      </c>
      <c r="B16">
        <v>17</v>
      </c>
      <c r="C16" t="s">
        <v>204</v>
      </c>
      <c r="D16">
        <v>10</v>
      </c>
      <c r="E16">
        <v>1</v>
      </c>
      <c r="F16">
        <v>9</v>
      </c>
    </row>
  </sheetData>
  <sheetProtection algorithmName="SHA-512" hashValue="hlD164FED4RpylPXZAQE8V/iyzDE2zlSMYc6I30i/bAQh5bquLesfvRqecxYrQFpgWCdUePzbN46tKgulq5HWQ==" saltValue="/IdIGJwNkjFBBYY9lrkmVQ==" spinCount="100000" sheet="1" objects="1" scenarios="1"/>
  <mergeCells count="3">
    <mergeCell ref="A1:F1"/>
    <mergeCell ref="A2:F2"/>
    <mergeCell ref="G3:I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E6641-A649-42B4-9A3C-CF01A59C9D79}">
  <sheetPr codeName="Hoja3"/>
  <dimension ref="A1:J3"/>
  <sheetViews>
    <sheetView workbookViewId="0">
      <selection sqref="A1:A1048576"/>
    </sheetView>
  </sheetViews>
  <sheetFormatPr baseColWidth="10" defaultRowHeight="15" x14ac:dyDescent="0.25"/>
  <cols>
    <col min="1" max="1" width="6.28515625" customWidth="1"/>
    <col min="3" max="3" width="13.140625" bestFit="1" customWidth="1"/>
    <col min="4" max="4" width="25.42578125" bestFit="1" customWidth="1"/>
    <col min="5" max="5" width="17.7109375" bestFit="1" customWidth="1"/>
    <col min="7" max="7" width="37.5703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29</v>
      </c>
      <c r="I1" s="1" t="s">
        <v>32</v>
      </c>
      <c r="J1" s="1" t="s">
        <v>30</v>
      </c>
    </row>
    <row r="2" spans="1:10" x14ac:dyDescent="0.25">
      <c r="A2">
        <v>1</v>
      </c>
      <c r="B2" t="s">
        <v>20</v>
      </c>
      <c r="C2" t="s">
        <v>21</v>
      </c>
      <c r="D2" t="s">
        <v>22</v>
      </c>
      <c r="E2" t="s">
        <v>23</v>
      </c>
      <c r="F2" t="s">
        <v>35</v>
      </c>
      <c r="G2" t="s">
        <v>36</v>
      </c>
      <c r="H2" t="s">
        <v>31</v>
      </c>
      <c r="I2" s="2">
        <v>44202</v>
      </c>
    </row>
    <row r="3" spans="1:10" x14ac:dyDescent="0.25">
      <c r="A3">
        <v>2</v>
      </c>
      <c r="B3" t="s">
        <v>24</v>
      </c>
      <c r="C3" t="s">
        <v>26</v>
      </c>
      <c r="D3" t="s">
        <v>25</v>
      </c>
      <c r="E3" t="s">
        <v>27</v>
      </c>
      <c r="F3" t="s">
        <v>28</v>
      </c>
      <c r="G3" t="s">
        <v>33</v>
      </c>
      <c r="H3" t="s">
        <v>31</v>
      </c>
      <c r="I3" s="2">
        <v>44202</v>
      </c>
      <c r="J3" s="2"/>
    </row>
  </sheetData>
  <sheetProtection algorithmName="SHA-512" hashValue="hWgcZ9S27iIbpu2HJSxM2RI0GQYrwqfvmFGdPY+Y3cIQAgABq+yBU1llucUzevE7C0i1gLlK4sK/NwjvkSbl2A==" saltValue="tt8/R9r77m0aPFvIEf2IMg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5F5C1-AB0D-4029-806E-E1E7D3B961B1}">
  <sheetPr codeName="Hoja5"/>
  <dimension ref="A1:J8"/>
  <sheetViews>
    <sheetView zoomScale="90" zoomScaleNormal="90" workbookViewId="0">
      <selection activeCell="D33" sqref="D33"/>
    </sheetView>
  </sheetViews>
  <sheetFormatPr baseColWidth="10" defaultRowHeight="15" x14ac:dyDescent="0.25"/>
  <cols>
    <col min="1" max="1" width="15.7109375" bestFit="1" customWidth="1"/>
    <col min="3" max="3" width="11.85546875" bestFit="1" customWidth="1"/>
    <col min="4" max="4" width="24.28515625" customWidth="1"/>
    <col min="5" max="5" width="16.28515625" bestFit="1" customWidth="1"/>
    <col min="6" max="6" width="18.140625" customWidth="1"/>
    <col min="8" max="8" width="30.42578125" customWidth="1"/>
  </cols>
  <sheetData>
    <row r="1" spans="1:10" x14ac:dyDescent="0.25">
      <c r="A1" s="3" t="s">
        <v>43</v>
      </c>
      <c r="B1" s="1" t="s">
        <v>0</v>
      </c>
      <c r="C1" s="1" t="s">
        <v>37</v>
      </c>
      <c r="D1" s="1" t="s">
        <v>3</v>
      </c>
      <c r="E1" s="1" t="s">
        <v>38</v>
      </c>
      <c r="F1" s="1" t="s">
        <v>6</v>
      </c>
      <c r="G1" s="1" t="s">
        <v>5</v>
      </c>
      <c r="H1" s="1" t="s">
        <v>39</v>
      </c>
      <c r="I1" s="1" t="s">
        <v>29</v>
      </c>
      <c r="J1" s="1" t="s">
        <v>30</v>
      </c>
    </row>
    <row r="2" spans="1:10" x14ac:dyDescent="0.25">
      <c r="A2" t="s">
        <v>44</v>
      </c>
      <c r="B2" t="s">
        <v>40</v>
      </c>
      <c r="C2" t="s">
        <v>41</v>
      </c>
      <c r="D2" t="s">
        <v>42</v>
      </c>
      <c r="E2" t="s">
        <v>45</v>
      </c>
      <c r="F2" t="s">
        <v>6</v>
      </c>
      <c r="G2" t="s">
        <v>46</v>
      </c>
      <c r="H2" t="s">
        <v>47</v>
      </c>
      <c r="I2" t="s">
        <v>31</v>
      </c>
    </row>
    <row r="3" spans="1:10" x14ac:dyDescent="0.25">
      <c r="A3" t="s">
        <v>44</v>
      </c>
      <c r="B3" t="s">
        <v>48</v>
      </c>
      <c r="C3" t="s">
        <v>49</v>
      </c>
      <c r="D3" t="s">
        <v>50</v>
      </c>
      <c r="E3" t="s">
        <v>53</v>
      </c>
      <c r="F3" t="s">
        <v>51</v>
      </c>
      <c r="G3" t="s">
        <v>52</v>
      </c>
      <c r="H3" t="s">
        <v>54</v>
      </c>
      <c r="I3" t="s">
        <v>34</v>
      </c>
      <c r="J3" s="2">
        <v>44240</v>
      </c>
    </row>
    <row r="4" spans="1:10" x14ac:dyDescent="0.25">
      <c r="A4" t="s">
        <v>44</v>
      </c>
      <c r="B4" t="s">
        <v>55</v>
      </c>
      <c r="C4" t="s">
        <v>49</v>
      </c>
      <c r="D4" t="s">
        <v>56</v>
      </c>
      <c r="E4" t="s">
        <v>57</v>
      </c>
      <c r="F4" t="s">
        <v>51</v>
      </c>
      <c r="G4" t="s">
        <v>63</v>
      </c>
      <c r="H4" t="s">
        <v>47</v>
      </c>
      <c r="I4" t="s">
        <v>31</v>
      </c>
    </row>
    <row r="5" spans="1:10" x14ac:dyDescent="0.25">
      <c r="A5" t="s">
        <v>44</v>
      </c>
      <c r="B5" t="s">
        <v>58</v>
      </c>
      <c r="C5" t="s">
        <v>41</v>
      </c>
      <c r="D5" t="s">
        <v>59</v>
      </c>
      <c r="E5" t="s">
        <v>60</v>
      </c>
      <c r="F5" t="s">
        <v>61</v>
      </c>
      <c r="G5" t="s">
        <v>62</v>
      </c>
      <c r="H5" t="s">
        <v>47</v>
      </c>
      <c r="I5" t="s">
        <v>34</v>
      </c>
      <c r="J5" s="2">
        <v>44240</v>
      </c>
    </row>
    <row r="6" spans="1:10" x14ac:dyDescent="0.25">
      <c r="A6" t="s">
        <v>147</v>
      </c>
      <c r="B6" t="s">
        <v>122</v>
      </c>
      <c r="C6" t="s">
        <v>41</v>
      </c>
      <c r="D6" t="s">
        <v>148</v>
      </c>
      <c r="E6" t="s">
        <v>149</v>
      </c>
      <c r="F6" t="s">
        <v>150</v>
      </c>
      <c r="G6" t="s">
        <v>151</v>
      </c>
      <c r="H6" t="s">
        <v>47</v>
      </c>
      <c r="I6" t="s">
        <v>31</v>
      </c>
    </row>
    <row r="7" spans="1:10" x14ac:dyDescent="0.25">
      <c r="A7" t="s">
        <v>180</v>
      </c>
      <c r="B7" t="s">
        <v>124</v>
      </c>
      <c r="C7" t="s">
        <v>41</v>
      </c>
      <c r="D7" t="s">
        <v>187</v>
      </c>
      <c r="E7" t="s">
        <v>188</v>
      </c>
      <c r="F7" t="s">
        <v>6</v>
      </c>
      <c r="G7" t="s">
        <v>189</v>
      </c>
      <c r="H7" t="s">
        <v>47</v>
      </c>
      <c r="I7" t="s">
        <v>31</v>
      </c>
    </row>
    <row r="8" spans="1:10" x14ac:dyDescent="0.25">
      <c r="A8" t="s">
        <v>180</v>
      </c>
      <c r="B8" t="s">
        <v>126</v>
      </c>
      <c r="C8" t="s">
        <v>41</v>
      </c>
      <c r="D8" t="s">
        <v>190</v>
      </c>
      <c r="E8" t="s">
        <v>191</v>
      </c>
      <c r="F8" t="s">
        <v>6</v>
      </c>
      <c r="G8" t="s">
        <v>192</v>
      </c>
      <c r="H8" t="s">
        <v>47</v>
      </c>
      <c r="I8" t="s">
        <v>31</v>
      </c>
    </row>
  </sheetData>
  <sheetProtection algorithmName="SHA-512" hashValue="u1uRd2BhudSH2mHLn97qUfpJzM5vyVWwfajgnuohGMVYjUyJKem++MehcW5jnc0TF/mcTefkF16w16RxbARrSA==" saltValue="Ve8wWw5NAyJw0+/S1DzStw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D3E22-DC5E-4F6C-9194-5A394D31CED7}">
  <sheetPr codeName="Hoja4"/>
  <dimension ref="A1:M3"/>
  <sheetViews>
    <sheetView workbookViewId="0">
      <selection activeCell="C25" sqref="C25"/>
    </sheetView>
  </sheetViews>
  <sheetFormatPr baseColWidth="10" defaultRowHeight="15" x14ac:dyDescent="0.25"/>
  <cols>
    <col min="1" max="1" width="13.7109375" bestFit="1" customWidth="1"/>
    <col min="10" max="10" width="16.28515625" bestFit="1" customWidth="1"/>
    <col min="11" max="11" width="13.140625" bestFit="1" customWidth="1"/>
  </cols>
  <sheetData>
    <row r="1" spans="1:13" x14ac:dyDescent="0.25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18</v>
      </c>
      <c r="M1" s="1" t="s">
        <v>19</v>
      </c>
    </row>
    <row r="2" spans="1:13" x14ac:dyDescent="0.25">
      <c r="A2" t="s">
        <v>20</v>
      </c>
      <c r="B2">
        <v>0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  <c r="J2">
        <v>0</v>
      </c>
      <c r="K2">
        <v>1</v>
      </c>
      <c r="L2" t="s">
        <v>20</v>
      </c>
      <c r="M2" s="2">
        <v>44258</v>
      </c>
    </row>
    <row r="3" spans="1:13" x14ac:dyDescent="0.25">
      <c r="A3" t="s">
        <v>24</v>
      </c>
      <c r="B3">
        <v>1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 t="s">
        <v>20</v>
      </c>
      <c r="M3" s="2">
        <v>44237</v>
      </c>
    </row>
  </sheetData>
  <sheetProtection algorithmName="SHA-512" hashValue="b41ogQe7vrQKmA7ZM8H63s/PPwe+dlRtKAbCGYkQpabQnLdlNSA0TkI0jamze8bIBAyywz6+MmCkU+ElKx96lg==" saltValue="FrLDmd4WikQNMPDnpmdUT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Empresa</vt:lpstr>
      <vt:lpstr>Hoja2</vt:lpstr>
      <vt:lpstr>Catalogos</vt:lpstr>
      <vt:lpstr>Articulos</vt:lpstr>
      <vt:lpstr>HistArtic</vt:lpstr>
      <vt:lpstr>Compras</vt:lpstr>
      <vt:lpstr>ComprasDetalle</vt:lpstr>
      <vt:lpstr>Ventas</vt:lpstr>
      <vt:lpstr>VentasDetalle</vt:lpstr>
      <vt:lpstr>MovCaja</vt:lpstr>
      <vt:lpstr>Ticket</vt:lpstr>
      <vt:lpstr>Inventario</vt:lpstr>
      <vt:lpstr>Usuarios</vt:lpstr>
      <vt:lpstr>Clientes_Proveedores</vt:lpstr>
      <vt:lpstr>PrivilegioUsuarios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Victorm</dc:creator>
  <cp:lastModifiedBy>Victorm</cp:lastModifiedBy>
  <cp:lastPrinted>2021-03-20T15:32:33Z</cp:lastPrinted>
  <dcterms:created xsi:type="dcterms:W3CDTF">2021-01-18T03:29:29Z</dcterms:created>
  <dcterms:modified xsi:type="dcterms:W3CDTF">2021-03-20T19:12:07Z</dcterms:modified>
</cp:coreProperties>
</file>