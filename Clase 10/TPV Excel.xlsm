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m\Google Drive\Excel\Tutoriales\Punto de Venta\Clase 10\"/>
    </mc:Choice>
  </mc:AlternateContent>
  <xr:revisionPtr revIDLastSave="0" documentId="13_ncr:1_{D729AF3A-CB2A-44CC-BD44-39805B28A39F}" xr6:coauthVersionLast="46" xr6:coauthVersionMax="46" xr10:uidLastSave="{00000000-0000-0000-0000-000000000000}"/>
  <bookViews>
    <workbookView xWindow="-30" yWindow="915" windowWidth="14415" windowHeight="8970" tabRatio="884" firstSheet="3" activeTab="9" xr2:uid="{9EDCFC30-1A92-4020-8783-EBB641C415BC}"/>
  </bookViews>
  <sheets>
    <sheet name="Empresa" sheetId="1" r:id="rId1"/>
    <sheet name="Hoja2" sheetId="2" r:id="rId2"/>
    <sheet name="Catalogos" sheetId="6" r:id="rId3"/>
    <sheet name="Articulos" sheetId="9" r:id="rId4"/>
    <sheet name="HistArtic" sheetId="13" r:id="rId5"/>
    <sheet name="Compras" sheetId="7" r:id="rId6"/>
    <sheet name="ComprasDetalle" sheetId="8" r:id="rId7"/>
    <sheet name="Ventas" sheetId="11" r:id="rId8"/>
    <sheet name="VentasDetalle" sheetId="12" r:id="rId9"/>
    <sheet name="Inventario" sheetId="10" r:id="rId10"/>
    <sheet name="Usuarios" sheetId="3" r:id="rId11"/>
    <sheet name="Clientes_Proveedores" sheetId="5" r:id="rId12"/>
    <sheet name="PrivilegioUsuarios" sheetId="4" r:id="rId1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0" l="1"/>
  <c r="I6" i="10"/>
  <c r="I7" i="10"/>
  <c r="I8" i="10"/>
  <c r="I9" i="10"/>
  <c r="I10" i="10"/>
  <c r="I11" i="10"/>
  <c r="I12" i="10"/>
  <c r="I13" i="10"/>
  <c r="G5" i="10"/>
  <c r="G6" i="10"/>
  <c r="G7" i="10"/>
  <c r="G8" i="10"/>
  <c r="G9" i="10"/>
  <c r="G10" i="10"/>
  <c r="G11" i="10"/>
  <c r="G12" i="10"/>
  <c r="G13" i="10"/>
  <c r="G4" i="10"/>
  <c r="I4" i="10"/>
</calcChain>
</file>

<file path=xl/sharedStrings.xml><?xml version="1.0" encoding="utf-8"?>
<sst xmlns="http://schemas.openxmlformats.org/spreadsheetml/2006/main" count="434" uniqueCount="162">
  <si>
    <t>ID</t>
  </si>
  <si>
    <t>USUARIO</t>
  </si>
  <si>
    <t>CONTRASEÑA</t>
  </si>
  <si>
    <t>NOMBRE</t>
  </si>
  <si>
    <t>EMAIL</t>
  </si>
  <si>
    <t>TELEFONO</t>
  </si>
  <si>
    <t>DOMICILIO</t>
  </si>
  <si>
    <t>NOMBRE USER</t>
  </si>
  <si>
    <t>CAJA</t>
  </si>
  <si>
    <t>CORTECAJA</t>
  </si>
  <si>
    <t>COMPRAS</t>
  </si>
  <si>
    <t>ARTICULOS</t>
  </si>
  <si>
    <t>CLIENTESPROV</t>
  </si>
  <si>
    <t>REPORTES</t>
  </si>
  <si>
    <t>USUARIOS</t>
  </si>
  <si>
    <t>EMPRESA</t>
  </si>
  <si>
    <t>CONFIGURACION</t>
  </si>
  <si>
    <t>INVENTARIOS</t>
  </si>
  <si>
    <t>REALIZO</t>
  </si>
  <si>
    <t>FECHA</t>
  </si>
  <si>
    <t>Admin</t>
  </si>
  <si>
    <t>12399</t>
  </si>
  <si>
    <t>Nombre Del Usuario Admin</t>
  </si>
  <si>
    <t>admin@gmail.com</t>
  </si>
  <si>
    <t>Maria</t>
  </si>
  <si>
    <t>Nombre De Maria</t>
  </si>
  <si>
    <t>Maria123</t>
  </si>
  <si>
    <t>mariga@gmail.com</t>
  </si>
  <si>
    <t>4656564646</t>
  </si>
  <si>
    <t>STATUS</t>
  </si>
  <si>
    <t>FECHA BAJA</t>
  </si>
  <si>
    <t>ACTIVO</t>
  </si>
  <si>
    <t>FECHA ALTA</t>
  </si>
  <si>
    <t>DOMILIO DE MARIA</t>
  </si>
  <si>
    <t>INACTIVO</t>
  </si>
  <si>
    <t>324322222</t>
  </si>
  <si>
    <t>DOMICLIO DEL USUARIO</t>
  </si>
  <si>
    <t>TIPO</t>
  </si>
  <si>
    <t>RFC</t>
  </si>
  <si>
    <t>PERSONA CONTACTO</t>
  </si>
  <si>
    <t>1</t>
  </si>
  <si>
    <t>PROVEEDOR</t>
  </si>
  <si>
    <t>NOMBRE DEL PROVEEDOR</t>
  </si>
  <si>
    <t>FECHA REGISTRO</t>
  </si>
  <si>
    <t>13/02/2021</t>
  </si>
  <si>
    <t>DSADFS0938204</t>
  </si>
  <si>
    <t>64654654654</t>
  </si>
  <si>
    <t/>
  </si>
  <si>
    <t>2</t>
  </si>
  <si>
    <t>CLIENTE</t>
  </si>
  <si>
    <t>CLIENTE UNO</t>
  </si>
  <si>
    <t>DOMICILIO DEL CLIENTE</t>
  </si>
  <si>
    <t>5464654</t>
  </si>
  <si>
    <t>DF23232343424</t>
  </si>
  <si>
    <t>SDFSDAFAAS</t>
  </si>
  <si>
    <t>3</t>
  </si>
  <si>
    <t>CLIENTE DOS</t>
  </si>
  <si>
    <t>DSDF230323</t>
  </si>
  <si>
    <t>4</t>
  </si>
  <si>
    <t>PROVEEDOR DOS</t>
  </si>
  <si>
    <t>SDFS2332423</t>
  </si>
  <si>
    <t>DOMI</t>
  </si>
  <si>
    <t>32424</t>
  </si>
  <si>
    <t>555545454</t>
  </si>
  <si>
    <t>GIRO O ACTIVIDAD</t>
  </si>
  <si>
    <t>CATEGORIA DE PROD</t>
  </si>
  <si>
    <t>MARCA</t>
  </si>
  <si>
    <t>NOMBRE DEL ARTICULO</t>
  </si>
  <si>
    <t>FECHA COMPRA</t>
  </si>
  <si>
    <t>FACTURA O NOTA</t>
  </si>
  <si>
    <t>TOTAL</t>
  </si>
  <si>
    <t>FORMA DE PAGO</t>
  </si>
  <si>
    <t>NUMERO DE ARTS</t>
  </si>
  <si>
    <t>PRECIO DE COSTO</t>
  </si>
  <si>
    <t>ARTICULO</t>
  </si>
  <si>
    <t>PRECIO DE VENTA</t>
  </si>
  <si>
    <t>CATEGORIA</t>
  </si>
  <si>
    <t>PRECIO MAYOREO</t>
  </si>
  <si>
    <t>NUM ARTS</t>
  </si>
  <si>
    <t>DESCTO %</t>
  </si>
  <si>
    <t>VIGENCIA DE</t>
  </si>
  <si>
    <t>VIGENCIA A</t>
  </si>
  <si>
    <t>ENTRADAS</t>
  </si>
  <si>
    <t>SALIDAS</t>
  </si>
  <si>
    <t>EXISTENCIA</t>
  </si>
  <si>
    <t>FECHA VENTA</t>
  </si>
  <si>
    <t>NUM TICKET</t>
  </si>
  <si>
    <t>TOTAL VENTA</t>
  </si>
  <si>
    <t>TOTAL RECIBIDO</t>
  </si>
  <si>
    <t>CAMBIO</t>
  </si>
  <si>
    <t>ID ARTIC</t>
  </si>
  <si>
    <t>NOMBRE ARTICULO</t>
  </si>
  <si>
    <t>CANTIDAD</t>
  </si>
  <si>
    <t>PRECIO UNITARIO</t>
  </si>
  <si>
    <t>Sin Categoria</t>
  </si>
  <si>
    <t>Sin Marca</t>
  </si>
  <si>
    <t>Papeleria</t>
  </si>
  <si>
    <t>Tienda de Abarrotes</t>
  </si>
  <si>
    <t>Ferreteria</t>
  </si>
  <si>
    <t>Farmacia</t>
  </si>
  <si>
    <t>Tienda de Ropa</t>
  </si>
  <si>
    <t>ABARROTES</t>
  </si>
  <si>
    <t>Vinos y Licores</t>
  </si>
  <si>
    <t>Cereales</t>
  </si>
  <si>
    <t>Botanas</t>
  </si>
  <si>
    <t>Lacteos</t>
  </si>
  <si>
    <t>La Costeña</t>
  </si>
  <si>
    <t>Barcel</t>
  </si>
  <si>
    <t>Sabritas</t>
  </si>
  <si>
    <t>Nestle</t>
  </si>
  <si>
    <t>Bimbo</t>
  </si>
  <si>
    <t>Frutas y Verduras</t>
  </si>
  <si>
    <t>Gaseosas</t>
  </si>
  <si>
    <t>Coca Cola</t>
  </si>
  <si>
    <t>FECHA MODIF</t>
  </si>
  <si>
    <t>ACEITE CAPULLO CANOLA 840ML</t>
  </si>
  <si>
    <t>0.00</t>
  </si>
  <si>
    <t>0</t>
  </si>
  <si>
    <t>01/01/1900</t>
  </si>
  <si>
    <t>ACEITUNA BUFALO DESHUESADA 175GRS</t>
  </si>
  <si>
    <t>ATUN EN AGUA ANCLA ABRE FACIL 140GRS</t>
  </si>
  <si>
    <t>AVENA 3 MINUTOS BOLSA DE 380GR</t>
  </si>
  <si>
    <t>5</t>
  </si>
  <si>
    <t>BLANQUEADOR CLORALEX RENDIDOR 2LT - CLORALEX</t>
  </si>
  <si>
    <t>6</t>
  </si>
  <si>
    <t>CALDO KNORR SUIZA 1.850KG</t>
  </si>
  <si>
    <t>7</t>
  </si>
  <si>
    <t>CHEETOS SABRITAS FLAMIN HOT 52G</t>
  </si>
  <si>
    <t>8</t>
  </si>
  <si>
    <t>CHICLE ADAMS TRIDENT YERBA 4 S NF 1PZA</t>
  </si>
  <si>
    <t>9</t>
  </si>
  <si>
    <t>CHILES HERDEZ JALAPEÑOS ENTEROS 350GR</t>
  </si>
  <si>
    <t>10</t>
  </si>
  <si>
    <t>CHOCOLATE MILKY WAY 48 G</t>
  </si>
  <si>
    <t>11</t>
  </si>
  <si>
    <t>COCA COLA LIGHT LATA DE 355 ML</t>
  </si>
  <si>
    <t>12</t>
  </si>
  <si>
    <t>COLGATE TRIPLE ACCION PASTA DENTAL 50 ML</t>
  </si>
  <si>
    <t>13</t>
  </si>
  <si>
    <t>CREMA CAMPBELLS 420 GRS CHAMPIÑONES</t>
  </si>
  <si>
    <t>20/02/2021</t>
  </si>
  <si>
    <t>546</t>
  </si>
  <si>
    <t>Efectivo</t>
  </si>
  <si>
    <t>25/02/2021</t>
  </si>
  <si>
    <t>4651</t>
  </si>
  <si>
    <t>26/02/2021</t>
  </si>
  <si>
    <t>4886</t>
  </si>
  <si>
    <t>03/03/2021</t>
  </si>
  <si>
    <t>PROVEEDOR DEL NORTE</t>
  </si>
  <si>
    <t>PDN811226PLA</t>
  </si>
  <si>
    <t>DOMICILIO DEL PROV</t>
  </si>
  <si>
    <t>51654654565</t>
  </si>
  <si>
    <t>28/02/2021</t>
  </si>
  <si>
    <t>64855</t>
  </si>
  <si>
    <t>26.50</t>
  </si>
  <si>
    <t>22.00</t>
  </si>
  <si>
    <t>14</t>
  </si>
  <si>
    <t>FRIJOLES LA SIERRA 580GRS NEGROS REFRITOS</t>
  </si>
  <si>
    <t>16.00</t>
  </si>
  <si>
    <t>06/03/2021</t>
  </si>
  <si>
    <t>INVENTARIO DE PRODUCTOS AL DIA: 06/03/2021</t>
  </si>
  <si>
    <t>COMPROBACION DE LOS DATOS CON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</si>
</sst>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/>
    <xf numFmtId="14" fontId="0" fillId="0" borderId="0" xfId="0" applyNumberFormat="1"/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4" fontId="0" fillId="2" borderId="1" xfId="0" applyNumberFormat="1" applyFill="1" applyBorder="1" applyAlignment="1">
      <alignment horizontal="center" vertical="center" wrapText="1"/>
    </xf>
    <xf numFmtId="4" fontId="0" fillId="2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/>
    <xf numFmtId="4" fontId="0" fillId="0" borderId="0" xfId="0" applyNumberFormat="1"/>
    <xf numFmtId="4" fontId="0" fillId="2" borderId="3" xfId="0" applyNumberFormat="1" applyFill="1" applyBorder="1" applyAlignment="1">
      <alignment horizontal="center"/>
    </xf>
    <xf numFmtId="0" fontId="0" fillId="4" borderId="1" xfId="0" applyFill="1" applyBorder="1"/>
    <xf numFmtId="164" fontId="2" fillId="0" borderId="0" xfId="0" applyNumberFormat="1" applyFont="1" applyAlignment="1">
      <alignment horizontal="center"/>
    </xf>
    <xf numFmtId="164" fontId="0" fillId="0" borderId="2" xfId="0" applyNumberFormat="1" applyBorder="1" applyAlignment="1">
      <alignment horizontal="center"/>
    </xf>
    <xf numFmtId="0" fontId="3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3457-F635-4F48-AF4F-CE5778392CE1}">
  <sheetPr codeName="Hoja1"/>
  <dimension ref="A1"/>
  <sheetViews>
    <sheetView workbookViewId="0">
      <selection activeCell="D39" sqref="D39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1E6-4A73-4CB4-81FE-1D03AA133159}">
  <sheetPr codeName="Hoja2"/>
  <dimension ref="A1"/>
  <sheetViews>
    <sheetView workbookViewId="0">
      <selection activeCell="F20" sqref="F20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26060-B594-4064-830A-2D7FF122E8DF}">
  <sheetPr codeName="Hoja6"/>
  <dimension ref="A1:E8"/>
  <sheetViews>
    <sheetView workbookViewId="0">
      <selection activeCell="D12" sqref="D12"/>
    </sheetView>
  </sheetViews>
  <sheetFormatPr baseColWidth="10" defaultRowHeight="15" x14ac:dyDescent="0.25"/>
  <cols>
    <col min="1" max="1" width="19" bestFit="1" customWidth="1"/>
    <col min="2" max="2" width="3" customWidth="1"/>
    <col min="3" max="3" width="21.85546875" bestFit="1" customWidth="1"/>
    <col min="4" max="4" width="3" customWidth="1"/>
    <col min="5" max="5" width="20" customWidth="1"/>
    <col min="6" max="6" width="3" customWidth="1"/>
  </cols>
  <sheetData>
    <row r="1" spans="1:5" x14ac:dyDescent="0.25">
      <c r="A1" s="9" t="s">
        <v>64</v>
      </c>
      <c r="C1" s="9" t="s">
        <v>65</v>
      </c>
      <c r="E1" s="9" t="s">
        <v>66</v>
      </c>
    </row>
    <row r="2" spans="1:5" x14ac:dyDescent="0.25">
      <c r="A2" t="s">
        <v>96</v>
      </c>
      <c r="C2" t="s">
        <v>94</v>
      </c>
      <c r="E2" t="s">
        <v>95</v>
      </c>
    </row>
    <row r="3" spans="1:5" x14ac:dyDescent="0.25">
      <c r="A3" t="s">
        <v>97</v>
      </c>
      <c r="C3" t="s">
        <v>104</v>
      </c>
      <c r="E3" t="s">
        <v>107</v>
      </c>
    </row>
    <row r="4" spans="1:5" x14ac:dyDescent="0.25">
      <c r="A4" t="s">
        <v>98</v>
      </c>
      <c r="C4" t="s">
        <v>103</v>
      </c>
      <c r="E4" t="s">
        <v>110</v>
      </c>
    </row>
    <row r="5" spans="1:5" x14ac:dyDescent="0.25">
      <c r="A5" t="s">
        <v>99</v>
      </c>
      <c r="C5" t="s">
        <v>111</v>
      </c>
      <c r="E5" t="s">
        <v>113</v>
      </c>
    </row>
    <row r="6" spans="1:5" x14ac:dyDescent="0.25">
      <c r="A6" t="s">
        <v>100</v>
      </c>
      <c r="C6" t="s">
        <v>112</v>
      </c>
      <c r="E6" t="s">
        <v>106</v>
      </c>
    </row>
    <row r="7" spans="1:5" x14ac:dyDescent="0.25">
      <c r="C7" t="s">
        <v>105</v>
      </c>
      <c r="E7" t="s">
        <v>109</v>
      </c>
    </row>
    <row r="8" spans="1:5" x14ac:dyDescent="0.25">
      <c r="C8" t="s">
        <v>102</v>
      </c>
      <c r="E8" t="s">
        <v>108</v>
      </c>
    </row>
  </sheetData>
  <sheetProtection algorithmName="SHA-512" hashValue="1TlfAWvm41szVEcdK3xBFVBKPPtEDNnt9wdhq+n+MlBeia5HesDGECkSKS/lc2O5Ok78uEyk2AW/lphUVRhctQ==" saltValue="hH1VRsGXS5qmgNH+JjTz6A==" spinCount="100000" sheet="1" objects="1" scenarios="1"/>
  <sortState xmlns:xlrd2="http://schemas.microsoft.com/office/spreadsheetml/2017/richdata2" ref="E3:E9">
    <sortCondition ref="E3:E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F3DB-28E9-48B3-9CDE-B932D4155168}">
  <sheetPr codeName="Hoja9"/>
  <dimension ref="A1:L15"/>
  <sheetViews>
    <sheetView workbookViewId="0">
      <selection activeCell="C22" sqref="C22"/>
    </sheetView>
  </sheetViews>
  <sheetFormatPr baseColWidth="10" defaultRowHeight="15" x14ac:dyDescent="0.25"/>
  <cols>
    <col min="3" max="3" width="40.42578125" customWidth="1"/>
    <col min="5" max="5" width="12.5703125" bestFit="1" customWidth="1"/>
  </cols>
  <sheetData>
    <row r="1" spans="1:12" ht="30" x14ac:dyDescent="0.25">
      <c r="A1" s="4" t="s">
        <v>19</v>
      </c>
      <c r="B1" s="4" t="s">
        <v>0</v>
      </c>
      <c r="C1" s="4" t="s">
        <v>74</v>
      </c>
      <c r="D1" s="5" t="s">
        <v>75</v>
      </c>
      <c r="E1" s="4" t="s">
        <v>76</v>
      </c>
      <c r="F1" s="4" t="s">
        <v>66</v>
      </c>
      <c r="G1" s="4" t="s">
        <v>77</v>
      </c>
      <c r="H1" s="4" t="s">
        <v>78</v>
      </c>
      <c r="I1" s="4" t="s">
        <v>79</v>
      </c>
      <c r="J1" s="4" t="s">
        <v>80</v>
      </c>
      <c r="K1" s="4" t="s">
        <v>81</v>
      </c>
      <c r="L1" s="4" t="s">
        <v>29</v>
      </c>
    </row>
    <row r="2" spans="1:12" x14ac:dyDescent="0.25">
      <c r="A2" s="2">
        <v>44258</v>
      </c>
      <c r="B2" t="s">
        <v>40</v>
      </c>
      <c r="C2" t="s">
        <v>115</v>
      </c>
      <c r="D2" t="s">
        <v>154</v>
      </c>
      <c r="E2" t="s">
        <v>94</v>
      </c>
      <c r="F2" t="s">
        <v>95</v>
      </c>
      <c r="G2">
        <v>0</v>
      </c>
      <c r="H2" t="s">
        <v>117</v>
      </c>
      <c r="I2" t="s">
        <v>117</v>
      </c>
      <c r="J2" t="s">
        <v>118</v>
      </c>
      <c r="K2" t="s">
        <v>118</v>
      </c>
      <c r="L2" t="s">
        <v>31</v>
      </c>
    </row>
    <row r="3" spans="1:12" x14ac:dyDescent="0.25">
      <c r="A3" s="2">
        <v>44259</v>
      </c>
      <c r="B3" t="s">
        <v>48</v>
      </c>
      <c r="C3" t="s">
        <v>119</v>
      </c>
      <c r="D3" t="s">
        <v>155</v>
      </c>
      <c r="E3" t="s">
        <v>94</v>
      </c>
      <c r="F3" t="s">
        <v>95</v>
      </c>
      <c r="G3">
        <v>0</v>
      </c>
      <c r="H3" t="s">
        <v>117</v>
      </c>
      <c r="I3" t="s">
        <v>117</v>
      </c>
      <c r="J3" t="s">
        <v>118</v>
      </c>
      <c r="K3" t="s">
        <v>118</v>
      </c>
      <c r="L3" t="s">
        <v>31</v>
      </c>
    </row>
    <row r="4" spans="1:12" x14ac:dyDescent="0.25">
      <c r="A4" s="2">
        <v>44258</v>
      </c>
      <c r="B4" t="s">
        <v>55</v>
      </c>
      <c r="C4" t="s">
        <v>120</v>
      </c>
      <c r="D4" t="s">
        <v>116</v>
      </c>
      <c r="E4" t="s">
        <v>94</v>
      </c>
      <c r="F4" t="s">
        <v>95</v>
      </c>
      <c r="G4" t="s">
        <v>116</v>
      </c>
      <c r="H4" t="s">
        <v>117</v>
      </c>
      <c r="I4" t="s">
        <v>117</v>
      </c>
      <c r="J4" t="s">
        <v>118</v>
      </c>
      <c r="K4" t="s">
        <v>118</v>
      </c>
      <c r="L4" t="s">
        <v>31</v>
      </c>
    </row>
    <row r="5" spans="1:12" x14ac:dyDescent="0.25">
      <c r="A5" s="2">
        <v>44258</v>
      </c>
      <c r="B5" t="s">
        <v>58</v>
      </c>
      <c r="C5" t="s">
        <v>121</v>
      </c>
      <c r="D5" t="s">
        <v>155</v>
      </c>
      <c r="E5" t="s">
        <v>94</v>
      </c>
      <c r="F5" t="s">
        <v>95</v>
      </c>
      <c r="G5">
        <v>0</v>
      </c>
      <c r="H5" t="s">
        <v>117</v>
      </c>
      <c r="I5" t="s">
        <v>117</v>
      </c>
      <c r="J5" t="s">
        <v>118</v>
      </c>
      <c r="K5" t="s">
        <v>118</v>
      </c>
      <c r="L5" t="s">
        <v>31</v>
      </c>
    </row>
    <row r="6" spans="1:12" x14ac:dyDescent="0.25">
      <c r="A6" s="2">
        <v>44258</v>
      </c>
      <c r="B6" t="s">
        <v>122</v>
      </c>
      <c r="C6" t="s">
        <v>123</v>
      </c>
      <c r="D6" t="s">
        <v>116</v>
      </c>
      <c r="E6" t="s">
        <v>94</v>
      </c>
      <c r="F6" t="s">
        <v>95</v>
      </c>
      <c r="G6" t="s">
        <v>116</v>
      </c>
      <c r="H6" t="s">
        <v>117</v>
      </c>
      <c r="I6" t="s">
        <v>117</v>
      </c>
      <c r="J6" t="s">
        <v>118</v>
      </c>
      <c r="K6" t="s">
        <v>118</v>
      </c>
      <c r="L6" t="s">
        <v>31</v>
      </c>
    </row>
    <row r="7" spans="1:12" x14ac:dyDescent="0.25">
      <c r="A7" s="2">
        <v>44258</v>
      </c>
      <c r="B7" t="s">
        <v>124</v>
      </c>
      <c r="C7" t="s">
        <v>125</v>
      </c>
      <c r="D7" t="s">
        <v>116</v>
      </c>
      <c r="E7" t="s">
        <v>94</v>
      </c>
      <c r="F7" t="s">
        <v>95</v>
      </c>
      <c r="G7" t="s">
        <v>116</v>
      </c>
      <c r="H7" t="s">
        <v>117</v>
      </c>
      <c r="I7" t="s">
        <v>117</v>
      </c>
      <c r="J7" t="s">
        <v>118</v>
      </c>
      <c r="K7" t="s">
        <v>118</v>
      </c>
      <c r="L7" t="s">
        <v>31</v>
      </c>
    </row>
    <row r="8" spans="1:12" x14ac:dyDescent="0.25">
      <c r="A8" s="2">
        <v>44258</v>
      </c>
      <c r="B8" t="s">
        <v>126</v>
      </c>
      <c r="C8" t="s">
        <v>127</v>
      </c>
      <c r="D8" t="s">
        <v>116</v>
      </c>
      <c r="E8" t="s">
        <v>94</v>
      </c>
      <c r="F8" t="s">
        <v>95</v>
      </c>
      <c r="G8" t="s">
        <v>116</v>
      </c>
      <c r="H8" t="s">
        <v>117</v>
      </c>
      <c r="I8" t="s">
        <v>117</v>
      </c>
      <c r="J8" t="s">
        <v>118</v>
      </c>
      <c r="K8" t="s">
        <v>118</v>
      </c>
      <c r="L8" t="s">
        <v>31</v>
      </c>
    </row>
    <row r="9" spans="1:12" x14ac:dyDescent="0.25">
      <c r="A9" s="2">
        <v>44258</v>
      </c>
      <c r="B9" t="s">
        <v>128</v>
      </c>
      <c r="C9" t="s">
        <v>129</v>
      </c>
      <c r="D9" t="s">
        <v>116</v>
      </c>
      <c r="E9" t="s">
        <v>94</v>
      </c>
      <c r="F9" t="s">
        <v>95</v>
      </c>
      <c r="G9" t="s">
        <v>116</v>
      </c>
      <c r="H9" t="s">
        <v>117</v>
      </c>
      <c r="I9" t="s">
        <v>117</v>
      </c>
      <c r="J9" t="s">
        <v>118</v>
      </c>
      <c r="K9" t="s">
        <v>118</v>
      </c>
      <c r="L9" t="s">
        <v>31</v>
      </c>
    </row>
    <row r="10" spans="1:12" x14ac:dyDescent="0.25">
      <c r="A10" s="2">
        <v>44258</v>
      </c>
      <c r="B10" t="s">
        <v>130</v>
      </c>
      <c r="C10" t="s">
        <v>131</v>
      </c>
      <c r="D10" t="s">
        <v>116</v>
      </c>
      <c r="E10" t="s">
        <v>94</v>
      </c>
      <c r="F10" t="s">
        <v>95</v>
      </c>
      <c r="G10" t="s">
        <v>116</v>
      </c>
      <c r="H10" t="s">
        <v>117</v>
      </c>
      <c r="I10" t="s">
        <v>117</v>
      </c>
      <c r="J10" t="s">
        <v>118</v>
      </c>
      <c r="K10" t="s">
        <v>118</v>
      </c>
      <c r="L10" t="s">
        <v>31</v>
      </c>
    </row>
    <row r="11" spans="1:12" x14ac:dyDescent="0.25">
      <c r="A11" s="2">
        <v>44258</v>
      </c>
      <c r="B11" t="s">
        <v>132</v>
      </c>
      <c r="C11" t="s">
        <v>133</v>
      </c>
      <c r="D11" t="s">
        <v>116</v>
      </c>
      <c r="E11" t="s">
        <v>94</v>
      </c>
      <c r="F11" t="s">
        <v>95</v>
      </c>
      <c r="G11" t="s">
        <v>116</v>
      </c>
      <c r="H11" t="s">
        <v>117</v>
      </c>
      <c r="I11" t="s">
        <v>117</v>
      </c>
      <c r="J11" t="s">
        <v>118</v>
      </c>
      <c r="K11" t="s">
        <v>118</v>
      </c>
      <c r="L11" t="s">
        <v>31</v>
      </c>
    </row>
    <row r="12" spans="1:12" x14ac:dyDescent="0.25">
      <c r="A12" s="2">
        <v>44258</v>
      </c>
      <c r="B12" t="s">
        <v>134</v>
      </c>
      <c r="C12" t="s">
        <v>135</v>
      </c>
      <c r="D12" t="s">
        <v>116</v>
      </c>
      <c r="E12" t="s">
        <v>94</v>
      </c>
      <c r="F12" t="s">
        <v>95</v>
      </c>
      <c r="G12" t="s">
        <v>116</v>
      </c>
      <c r="H12" t="s">
        <v>117</v>
      </c>
      <c r="I12" t="s">
        <v>117</v>
      </c>
      <c r="J12" t="s">
        <v>118</v>
      </c>
      <c r="K12" t="s">
        <v>118</v>
      </c>
      <c r="L12" t="s">
        <v>31</v>
      </c>
    </row>
    <row r="13" spans="1:12" x14ac:dyDescent="0.25">
      <c r="A13" s="2">
        <v>44258</v>
      </c>
      <c r="B13" t="s">
        <v>136</v>
      </c>
      <c r="C13" t="s">
        <v>137</v>
      </c>
      <c r="D13" t="s">
        <v>116</v>
      </c>
      <c r="E13" t="s">
        <v>94</v>
      </c>
      <c r="F13" t="s">
        <v>95</v>
      </c>
      <c r="G13" t="s">
        <v>116</v>
      </c>
      <c r="H13" t="s">
        <v>117</v>
      </c>
      <c r="I13" t="s">
        <v>117</v>
      </c>
      <c r="J13" t="s">
        <v>118</v>
      </c>
      <c r="K13" t="s">
        <v>118</v>
      </c>
      <c r="L13" t="s">
        <v>31</v>
      </c>
    </row>
    <row r="14" spans="1:12" x14ac:dyDescent="0.25">
      <c r="A14" s="2">
        <v>44258</v>
      </c>
      <c r="B14" t="s">
        <v>138</v>
      </c>
      <c r="C14" t="s">
        <v>139</v>
      </c>
      <c r="D14" t="s">
        <v>116</v>
      </c>
      <c r="E14" t="s">
        <v>94</v>
      </c>
      <c r="F14" t="s">
        <v>95</v>
      </c>
      <c r="G14" t="s">
        <v>116</v>
      </c>
      <c r="H14" t="s">
        <v>117</v>
      </c>
      <c r="I14" t="s">
        <v>117</v>
      </c>
      <c r="J14" t="s">
        <v>118</v>
      </c>
      <c r="K14" t="s">
        <v>118</v>
      </c>
      <c r="L14" t="s">
        <v>31</v>
      </c>
    </row>
    <row r="15" spans="1:12" x14ac:dyDescent="0.25">
      <c r="A15" s="2">
        <v>44259</v>
      </c>
      <c r="B15" t="s">
        <v>156</v>
      </c>
      <c r="C15" t="s">
        <v>157</v>
      </c>
      <c r="D15" t="s">
        <v>116</v>
      </c>
      <c r="E15" t="s">
        <v>94</v>
      </c>
      <c r="F15" t="s">
        <v>95</v>
      </c>
      <c r="G15" t="s">
        <v>116</v>
      </c>
      <c r="H15" t="s">
        <v>117</v>
      </c>
      <c r="I15" t="s">
        <v>117</v>
      </c>
      <c r="J15" t="s">
        <v>118</v>
      </c>
      <c r="K15" t="s">
        <v>118</v>
      </c>
      <c r="L15" t="s">
        <v>31</v>
      </c>
    </row>
  </sheetData>
  <sheetProtection algorithmName="SHA-512" hashValue="EMILzXKzb3ZLRLucvWC1NLFkK1x/SnOjtcvlsuDpuyRdIDSNwvXCPyg2a2QnSBXkgFWMyWzE7CXTeu6H0vE7tQ==" saltValue="Lk52s2FzRut/q29ej6P/5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8529F-6091-4E2D-8548-719B327B377F}">
  <sheetPr codeName="Hoja13"/>
  <dimension ref="A1:D16"/>
  <sheetViews>
    <sheetView workbookViewId="0">
      <selection activeCell="D16" sqref="D16"/>
    </sheetView>
  </sheetViews>
  <sheetFormatPr baseColWidth="10" defaultRowHeight="15" x14ac:dyDescent="0.25"/>
  <cols>
    <col min="3" max="3" width="39.28515625" customWidth="1"/>
  </cols>
  <sheetData>
    <row r="1" spans="1:4" ht="30" x14ac:dyDescent="0.25">
      <c r="A1" s="4" t="s">
        <v>114</v>
      </c>
      <c r="B1" s="4" t="s">
        <v>0</v>
      </c>
      <c r="C1" s="4" t="s">
        <v>74</v>
      </c>
      <c r="D1" s="5" t="s">
        <v>75</v>
      </c>
    </row>
    <row r="2" spans="1:4" x14ac:dyDescent="0.25">
      <c r="A2" s="2">
        <v>44258</v>
      </c>
      <c r="B2" t="s">
        <v>40</v>
      </c>
      <c r="C2" t="s">
        <v>115</v>
      </c>
      <c r="D2" t="s">
        <v>154</v>
      </c>
    </row>
    <row r="3" spans="1:4" x14ac:dyDescent="0.25">
      <c r="A3" s="2">
        <v>44259</v>
      </c>
      <c r="B3" t="s">
        <v>48</v>
      </c>
      <c r="C3" t="s">
        <v>119</v>
      </c>
      <c r="D3" t="s">
        <v>158</v>
      </c>
    </row>
    <row r="4" spans="1:4" x14ac:dyDescent="0.25">
      <c r="A4" s="2">
        <v>44258</v>
      </c>
      <c r="B4" t="s">
        <v>55</v>
      </c>
      <c r="C4" t="s">
        <v>120</v>
      </c>
      <c r="D4" t="s">
        <v>116</v>
      </c>
    </row>
    <row r="5" spans="1:4" x14ac:dyDescent="0.25">
      <c r="A5" s="2">
        <v>44258</v>
      </c>
      <c r="B5" t="s">
        <v>58</v>
      </c>
      <c r="C5" t="s">
        <v>121</v>
      </c>
      <c r="D5" t="s">
        <v>155</v>
      </c>
    </row>
    <row r="6" spans="1:4" x14ac:dyDescent="0.25">
      <c r="A6" s="2">
        <v>44258</v>
      </c>
      <c r="B6" t="s">
        <v>122</v>
      </c>
      <c r="C6" t="s">
        <v>123</v>
      </c>
      <c r="D6" t="s">
        <v>116</v>
      </c>
    </row>
    <row r="7" spans="1:4" x14ac:dyDescent="0.25">
      <c r="A7" s="2">
        <v>44258</v>
      </c>
      <c r="B7" t="s">
        <v>124</v>
      </c>
      <c r="C7" t="s">
        <v>125</v>
      </c>
      <c r="D7" t="s">
        <v>116</v>
      </c>
    </row>
    <row r="8" spans="1:4" x14ac:dyDescent="0.25">
      <c r="A8" s="2">
        <v>44258</v>
      </c>
      <c r="B8" t="s">
        <v>126</v>
      </c>
      <c r="C8" t="s">
        <v>127</v>
      </c>
      <c r="D8" t="s">
        <v>116</v>
      </c>
    </row>
    <row r="9" spans="1:4" x14ac:dyDescent="0.25">
      <c r="A9" s="2">
        <v>44258</v>
      </c>
      <c r="B9" t="s">
        <v>128</v>
      </c>
      <c r="C9" t="s">
        <v>129</v>
      </c>
      <c r="D9" t="s">
        <v>116</v>
      </c>
    </row>
    <row r="10" spans="1:4" x14ac:dyDescent="0.25">
      <c r="A10" s="2">
        <v>44258</v>
      </c>
      <c r="B10" t="s">
        <v>130</v>
      </c>
      <c r="C10" t="s">
        <v>131</v>
      </c>
      <c r="D10" t="s">
        <v>116</v>
      </c>
    </row>
    <row r="11" spans="1:4" x14ac:dyDescent="0.25">
      <c r="A11" s="2">
        <v>44258</v>
      </c>
      <c r="B11" t="s">
        <v>132</v>
      </c>
      <c r="C11" t="s">
        <v>133</v>
      </c>
      <c r="D11" t="s">
        <v>116</v>
      </c>
    </row>
    <row r="12" spans="1:4" x14ac:dyDescent="0.25">
      <c r="A12" s="2">
        <v>44258</v>
      </c>
      <c r="B12" t="s">
        <v>134</v>
      </c>
      <c r="C12" t="s">
        <v>135</v>
      </c>
      <c r="D12" t="s">
        <v>116</v>
      </c>
    </row>
    <row r="13" spans="1:4" x14ac:dyDescent="0.25">
      <c r="A13" s="2">
        <v>44258</v>
      </c>
      <c r="B13" t="s">
        <v>136</v>
      </c>
      <c r="C13" t="s">
        <v>137</v>
      </c>
      <c r="D13" t="s">
        <v>116</v>
      </c>
    </row>
    <row r="14" spans="1:4" x14ac:dyDescent="0.25">
      <c r="A14" s="2">
        <v>44258</v>
      </c>
      <c r="B14" t="s">
        <v>138</v>
      </c>
      <c r="C14" t="s">
        <v>139</v>
      </c>
      <c r="D14" t="s">
        <v>116</v>
      </c>
    </row>
    <row r="15" spans="1:4" x14ac:dyDescent="0.25">
      <c r="A15" s="2">
        <v>44259</v>
      </c>
      <c r="B15" t="s">
        <v>156</v>
      </c>
      <c r="C15" t="s">
        <v>157</v>
      </c>
      <c r="D15" t="s">
        <v>116</v>
      </c>
    </row>
    <row r="16" spans="1:4" x14ac:dyDescent="0.25">
      <c r="A16" s="2">
        <v>44259</v>
      </c>
      <c r="B16" t="s">
        <v>48</v>
      </c>
      <c r="C16" t="s">
        <v>119</v>
      </c>
      <c r="D16" t="s">
        <v>155</v>
      </c>
    </row>
  </sheetData>
  <sheetProtection algorithmName="SHA-512" hashValue="BfawcUfkiimfTu3RrkwQ7s083B8K2tsbP7j3YACmexgHt+Ucf4oKWBGJRZrxfocIhL/uV4LGhfh1cdZBqkwnmg==" saltValue="QhqW0FE3U61MCb/BQCDWng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B74B-6918-4168-BCBA-C360BDFDF2E1}">
  <sheetPr codeName="Hoja7"/>
  <dimension ref="A1:E5"/>
  <sheetViews>
    <sheetView workbookViewId="0">
      <selection activeCell="A2" sqref="A2:XFD2"/>
    </sheetView>
  </sheetViews>
  <sheetFormatPr baseColWidth="10" defaultRowHeight="15" x14ac:dyDescent="0.25"/>
  <cols>
    <col min="1" max="1" width="15" bestFit="1" customWidth="1"/>
    <col min="2" max="2" width="16.7109375" bestFit="1" customWidth="1"/>
    <col min="4" max="4" width="21.7109375" customWidth="1"/>
    <col min="5" max="5" width="15.85546875" bestFit="1" customWidth="1"/>
  </cols>
  <sheetData>
    <row r="1" spans="1:5" x14ac:dyDescent="0.25">
      <c r="A1" s="1" t="s">
        <v>68</v>
      </c>
      <c r="B1" s="1" t="s">
        <v>69</v>
      </c>
      <c r="C1" s="1" t="s">
        <v>70</v>
      </c>
      <c r="D1" s="1" t="s">
        <v>41</v>
      </c>
      <c r="E1" s="1" t="s">
        <v>71</v>
      </c>
    </row>
    <row r="2" spans="1:5" x14ac:dyDescent="0.25">
      <c r="A2" t="s">
        <v>140</v>
      </c>
      <c r="B2" t="s">
        <v>141</v>
      </c>
      <c r="C2" s="10">
        <v>1455</v>
      </c>
      <c r="D2" t="s">
        <v>59</v>
      </c>
      <c r="E2" t="s">
        <v>142</v>
      </c>
    </row>
    <row r="3" spans="1:5" x14ac:dyDescent="0.25">
      <c r="A3" t="s">
        <v>143</v>
      </c>
      <c r="B3" t="s">
        <v>144</v>
      </c>
      <c r="C3">
        <v>617.5</v>
      </c>
      <c r="D3" t="s">
        <v>59</v>
      </c>
      <c r="E3" t="s">
        <v>142</v>
      </c>
    </row>
    <row r="4" spans="1:5" x14ac:dyDescent="0.25">
      <c r="A4" t="s">
        <v>145</v>
      </c>
      <c r="B4" t="s">
        <v>146</v>
      </c>
      <c r="C4">
        <v>376</v>
      </c>
      <c r="D4" t="s">
        <v>59</v>
      </c>
      <c r="E4" t="s">
        <v>142</v>
      </c>
    </row>
    <row r="5" spans="1:5" x14ac:dyDescent="0.25">
      <c r="A5" t="s">
        <v>152</v>
      </c>
      <c r="B5" t="s">
        <v>153</v>
      </c>
      <c r="C5">
        <v>600</v>
      </c>
      <c r="D5" t="s">
        <v>148</v>
      </c>
      <c r="E5" t="s">
        <v>142</v>
      </c>
    </row>
  </sheetData>
  <sheetProtection algorithmName="SHA-512" hashValue="QXbNb0Wx5ZF1Jixrwjr9bLj/Mh5PVIkMow/d2MWw/XNdkIP3w3Z+U4awksxW7pXJRa9g9xO4eA4cbVriSEy3wg==" saltValue="5WJE/OrTEbJrbhORJ0qCr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0D914-AF49-4227-8A8A-3ACB9F415AF8}">
  <sheetPr codeName="Hoja8"/>
  <dimension ref="A3:G14"/>
  <sheetViews>
    <sheetView workbookViewId="0">
      <selection activeCell="H4" sqref="H4"/>
    </sheetView>
  </sheetViews>
  <sheetFormatPr baseColWidth="10" defaultRowHeight="15" x14ac:dyDescent="0.25"/>
  <cols>
    <col min="1" max="1" width="15.7109375" customWidth="1"/>
    <col min="4" max="4" width="26.42578125" customWidth="1"/>
    <col min="5" max="5" width="9" customWidth="1"/>
  </cols>
  <sheetData>
    <row r="3" spans="1:7" ht="31.5" customHeight="1" x14ac:dyDescent="0.25">
      <c r="A3" s="4" t="s">
        <v>68</v>
      </c>
      <c r="B3" s="4" t="s">
        <v>69</v>
      </c>
      <c r="C3" s="4" t="s">
        <v>0</v>
      </c>
      <c r="D3" s="4" t="s">
        <v>67</v>
      </c>
      <c r="E3" s="4" t="s">
        <v>72</v>
      </c>
      <c r="F3" s="4" t="s">
        <v>73</v>
      </c>
      <c r="G3" s="4" t="s">
        <v>70</v>
      </c>
    </row>
    <row r="4" spans="1:7" x14ac:dyDescent="0.25">
      <c r="A4" t="s">
        <v>140</v>
      </c>
      <c r="B4" t="s">
        <v>141</v>
      </c>
      <c r="C4">
        <v>1</v>
      </c>
      <c r="D4" t="s">
        <v>115</v>
      </c>
      <c r="E4">
        <v>10</v>
      </c>
      <c r="F4">
        <v>22</v>
      </c>
      <c r="G4">
        <v>220</v>
      </c>
    </row>
    <row r="5" spans="1:7" x14ac:dyDescent="0.25">
      <c r="A5" t="s">
        <v>140</v>
      </c>
      <c r="B5" t="s">
        <v>141</v>
      </c>
      <c r="C5">
        <v>2</v>
      </c>
      <c r="D5" t="s">
        <v>119</v>
      </c>
      <c r="E5">
        <v>15</v>
      </c>
      <c r="F5">
        <v>14.5</v>
      </c>
      <c r="G5">
        <v>217.5</v>
      </c>
    </row>
    <row r="6" spans="1:7" x14ac:dyDescent="0.25">
      <c r="A6" t="s">
        <v>140</v>
      </c>
      <c r="B6" t="s">
        <v>141</v>
      </c>
      <c r="C6">
        <v>3</v>
      </c>
      <c r="D6" t="s">
        <v>120</v>
      </c>
      <c r="E6">
        <v>20</v>
      </c>
      <c r="F6">
        <v>16</v>
      </c>
      <c r="G6">
        <v>320</v>
      </c>
    </row>
    <row r="7" spans="1:7" x14ac:dyDescent="0.25">
      <c r="A7" t="s">
        <v>140</v>
      </c>
      <c r="B7" t="s">
        <v>141</v>
      </c>
      <c r="C7">
        <v>13</v>
      </c>
      <c r="D7" t="s">
        <v>139</v>
      </c>
      <c r="E7">
        <v>20</v>
      </c>
      <c r="F7">
        <v>18</v>
      </c>
      <c r="G7">
        <v>360</v>
      </c>
    </row>
    <row r="8" spans="1:7" x14ac:dyDescent="0.25">
      <c r="A8" t="s">
        <v>140</v>
      </c>
      <c r="B8" t="s">
        <v>141</v>
      </c>
      <c r="C8">
        <v>11</v>
      </c>
      <c r="D8" t="s">
        <v>135</v>
      </c>
      <c r="E8">
        <v>25</v>
      </c>
      <c r="F8">
        <v>13.5</v>
      </c>
      <c r="G8">
        <v>337.5</v>
      </c>
    </row>
    <row r="9" spans="1:7" x14ac:dyDescent="0.25">
      <c r="A9" t="s">
        <v>143</v>
      </c>
      <c r="B9" t="s">
        <v>144</v>
      </c>
      <c r="C9">
        <v>2</v>
      </c>
      <c r="D9" t="s">
        <v>119</v>
      </c>
      <c r="E9">
        <v>20</v>
      </c>
      <c r="F9">
        <v>17</v>
      </c>
      <c r="G9">
        <v>340</v>
      </c>
    </row>
    <row r="10" spans="1:7" x14ac:dyDescent="0.25">
      <c r="A10" t="s">
        <v>143</v>
      </c>
      <c r="B10" t="s">
        <v>144</v>
      </c>
      <c r="C10">
        <v>4</v>
      </c>
      <c r="D10" t="s">
        <v>121</v>
      </c>
      <c r="E10">
        <v>15</v>
      </c>
      <c r="F10">
        <v>18.5</v>
      </c>
      <c r="G10">
        <v>277.5</v>
      </c>
    </row>
    <row r="11" spans="1:7" x14ac:dyDescent="0.25">
      <c r="A11" t="s">
        <v>145</v>
      </c>
      <c r="B11" t="s">
        <v>146</v>
      </c>
      <c r="C11">
        <v>5</v>
      </c>
      <c r="D11" t="s">
        <v>123</v>
      </c>
      <c r="E11">
        <v>8</v>
      </c>
      <c r="F11">
        <v>17</v>
      </c>
      <c r="G11">
        <v>136</v>
      </c>
    </row>
    <row r="12" spans="1:7" x14ac:dyDescent="0.25">
      <c r="A12" t="s">
        <v>145</v>
      </c>
      <c r="B12" t="s">
        <v>146</v>
      </c>
      <c r="C12">
        <v>6</v>
      </c>
      <c r="D12" t="s">
        <v>125</v>
      </c>
      <c r="E12">
        <v>20</v>
      </c>
      <c r="F12">
        <v>12</v>
      </c>
      <c r="G12">
        <v>240</v>
      </c>
    </row>
    <row r="13" spans="1:7" x14ac:dyDescent="0.25">
      <c r="A13" t="s">
        <v>152</v>
      </c>
      <c r="B13" t="s">
        <v>153</v>
      </c>
      <c r="C13">
        <v>10</v>
      </c>
      <c r="D13" t="s">
        <v>133</v>
      </c>
      <c r="E13">
        <v>30</v>
      </c>
      <c r="F13">
        <v>11.5</v>
      </c>
      <c r="G13">
        <v>345</v>
      </c>
    </row>
    <row r="14" spans="1:7" x14ac:dyDescent="0.25">
      <c r="A14" t="s">
        <v>152</v>
      </c>
      <c r="B14" t="s">
        <v>153</v>
      </c>
      <c r="C14">
        <v>9</v>
      </c>
      <c r="D14" t="s">
        <v>131</v>
      </c>
      <c r="E14">
        <v>15</v>
      </c>
      <c r="F14">
        <v>17</v>
      </c>
      <c r="G14">
        <v>255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EA959-4E13-413A-9809-8A941F33A26D}">
  <sheetPr codeName="Hoja11"/>
  <dimension ref="A1:G1"/>
  <sheetViews>
    <sheetView workbookViewId="0">
      <selection activeCell="F39" sqref="F39"/>
    </sheetView>
  </sheetViews>
  <sheetFormatPr baseColWidth="10" defaultRowHeight="15" x14ac:dyDescent="0.25"/>
  <cols>
    <col min="1" max="1" width="13.140625" bestFit="1" customWidth="1"/>
    <col min="2" max="2" width="11.7109375" bestFit="1" customWidth="1"/>
    <col min="3" max="3" width="13" bestFit="1" customWidth="1"/>
    <col min="4" max="4" width="15.28515625" bestFit="1" customWidth="1"/>
    <col min="5" max="5" width="8.28515625" bestFit="1" customWidth="1"/>
    <col min="6" max="6" width="15.85546875" bestFit="1" customWidth="1"/>
    <col min="7" max="7" width="8" bestFit="1" customWidth="1"/>
  </cols>
  <sheetData>
    <row r="1" spans="1:7" x14ac:dyDescent="0.25">
      <c r="A1" s="8" t="s">
        <v>85</v>
      </c>
      <c r="B1" s="8" t="s">
        <v>86</v>
      </c>
      <c r="C1" s="8" t="s">
        <v>87</v>
      </c>
      <c r="D1" s="8" t="s">
        <v>88</v>
      </c>
      <c r="E1" s="8" t="s">
        <v>89</v>
      </c>
      <c r="F1" s="8" t="s">
        <v>71</v>
      </c>
      <c r="G1" s="8" t="s">
        <v>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88ED-8712-4D5D-8C2E-B7A217A0ADF8}">
  <sheetPr codeName="Hoja12"/>
  <dimension ref="A1:G1"/>
  <sheetViews>
    <sheetView workbookViewId="0">
      <selection activeCell="D25" sqref="D25"/>
    </sheetView>
  </sheetViews>
  <sheetFormatPr baseColWidth="10" defaultRowHeight="15" x14ac:dyDescent="0.25"/>
  <cols>
    <col min="4" max="4" width="37.42578125" customWidth="1"/>
  </cols>
  <sheetData>
    <row r="1" spans="1:7" ht="30" x14ac:dyDescent="0.25">
      <c r="A1" s="4" t="s">
        <v>85</v>
      </c>
      <c r="B1" s="4" t="s">
        <v>86</v>
      </c>
      <c r="C1" s="4" t="s">
        <v>90</v>
      </c>
      <c r="D1" s="4" t="s">
        <v>91</v>
      </c>
      <c r="E1" s="4" t="s">
        <v>92</v>
      </c>
      <c r="F1" s="4" t="s">
        <v>93</v>
      </c>
      <c r="G1" s="4" t="s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8094-BFED-4D81-BA3C-783DC740C98F}">
  <sheetPr codeName="Hoja10"/>
  <dimension ref="A1:I13"/>
  <sheetViews>
    <sheetView tabSelected="1" workbookViewId="0">
      <selection activeCell="B4" sqref="B4:C15"/>
    </sheetView>
  </sheetViews>
  <sheetFormatPr baseColWidth="10" defaultRowHeight="15" x14ac:dyDescent="0.25"/>
  <cols>
    <col min="3" max="3" width="24.28515625" customWidth="1"/>
    <col min="7" max="7" width="11.85546875" bestFit="1" customWidth="1"/>
  </cols>
  <sheetData>
    <row r="1" spans="1:9" ht="21" x14ac:dyDescent="0.35">
      <c r="A1" s="13" t="s">
        <v>101</v>
      </c>
      <c r="B1" s="13"/>
      <c r="C1" s="13"/>
      <c r="D1" s="13"/>
      <c r="E1" s="13"/>
      <c r="F1" s="13"/>
    </row>
    <row r="2" spans="1:9" x14ac:dyDescent="0.25">
      <c r="A2" s="14" t="s">
        <v>160</v>
      </c>
      <c r="B2" s="14"/>
      <c r="C2" s="14"/>
      <c r="D2" s="14"/>
      <c r="E2" s="14"/>
      <c r="F2" s="14"/>
    </row>
    <row r="3" spans="1:9" x14ac:dyDescent="0.25">
      <c r="A3" s="3" t="s">
        <v>19</v>
      </c>
      <c r="B3" s="4" t="s">
        <v>0</v>
      </c>
      <c r="C3" s="4" t="s">
        <v>67</v>
      </c>
      <c r="D3" s="6" t="s">
        <v>82</v>
      </c>
      <c r="E3" s="7" t="s">
        <v>83</v>
      </c>
      <c r="F3" s="11" t="s">
        <v>84</v>
      </c>
      <c r="G3" s="15" t="s">
        <v>161</v>
      </c>
      <c r="H3" s="15"/>
      <c r="I3" s="15"/>
    </row>
    <row r="4" spans="1:9" x14ac:dyDescent="0.25">
      <c r="A4" t="s">
        <v>159</v>
      </c>
      <c r="B4">
        <v>1</v>
      </c>
      <c r="C4" t="s">
        <v>115</v>
      </c>
      <c r="D4">
        <v>10</v>
      </c>
      <c r="E4">
        <v>0</v>
      </c>
      <c r="F4">
        <v>10</v>
      </c>
      <c r="G4" s="12">
        <f>SUMIFS(ComprasDetalle!E4:E14,ComprasDetalle!D4:D14,Inventario!C4)</f>
        <v>10</v>
      </c>
      <c r="H4" s="12"/>
      <c r="I4" s="12">
        <f>D4-E4</f>
        <v>10</v>
      </c>
    </row>
    <row r="5" spans="1:9" x14ac:dyDescent="0.25">
      <c r="A5" t="s">
        <v>159</v>
      </c>
      <c r="B5">
        <v>2</v>
      </c>
      <c r="C5" t="s">
        <v>119</v>
      </c>
      <c r="D5">
        <v>35</v>
      </c>
      <c r="E5">
        <v>0</v>
      </c>
      <c r="F5">
        <v>35</v>
      </c>
      <c r="G5" s="12">
        <f>SUMIFS(ComprasDetalle!E5:E15,ComprasDetalle!D5:D15,Inventario!C5)</f>
        <v>35</v>
      </c>
      <c r="H5" s="12"/>
      <c r="I5" s="12">
        <f t="shared" ref="I5:I13" si="0">D5-E5</f>
        <v>35</v>
      </c>
    </row>
    <row r="6" spans="1:9" x14ac:dyDescent="0.25">
      <c r="A6" t="s">
        <v>159</v>
      </c>
      <c r="B6">
        <v>3</v>
      </c>
      <c r="C6" t="s">
        <v>120</v>
      </c>
      <c r="D6">
        <v>20</v>
      </c>
      <c r="E6">
        <v>0</v>
      </c>
      <c r="F6">
        <v>20</v>
      </c>
      <c r="G6" s="12">
        <f>SUMIFS(ComprasDetalle!E6:E16,ComprasDetalle!D6:D16,Inventario!C6)</f>
        <v>20</v>
      </c>
      <c r="H6" s="12"/>
      <c r="I6" s="12">
        <f t="shared" si="0"/>
        <v>20</v>
      </c>
    </row>
    <row r="7" spans="1:9" x14ac:dyDescent="0.25">
      <c r="A7" t="s">
        <v>159</v>
      </c>
      <c r="B7">
        <v>13</v>
      </c>
      <c r="C7" t="s">
        <v>139</v>
      </c>
      <c r="D7">
        <v>20</v>
      </c>
      <c r="E7">
        <v>0</v>
      </c>
      <c r="F7">
        <v>20</v>
      </c>
      <c r="G7" s="12">
        <f>SUMIFS(ComprasDetalle!E7:E17,ComprasDetalle!D7:D17,Inventario!C7)</f>
        <v>20</v>
      </c>
      <c r="H7" s="12"/>
      <c r="I7" s="12">
        <f t="shared" si="0"/>
        <v>20</v>
      </c>
    </row>
    <row r="8" spans="1:9" x14ac:dyDescent="0.25">
      <c r="A8" t="s">
        <v>159</v>
      </c>
      <c r="B8">
        <v>11</v>
      </c>
      <c r="C8" t="s">
        <v>135</v>
      </c>
      <c r="D8">
        <v>25</v>
      </c>
      <c r="E8">
        <v>0</v>
      </c>
      <c r="F8">
        <v>25</v>
      </c>
      <c r="G8" s="12">
        <f>SUMIFS(ComprasDetalle!E8:E18,ComprasDetalle!D8:D18,Inventario!C8)</f>
        <v>25</v>
      </c>
      <c r="H8" s="12"/>
      <c r="I8" s="12">
        <f t="shared" si="0"/>
        <v>25</v>
      </c>
    </row>
    <row r="9" spans="1:9" x14ac:dyDescent="0.25">
      <c r="A9" t="s">
        <v>159</v>
      </c>
      <c r="B9">
        <v>4</v>
      </c>
      <c r="C9" t="s">
        <v>121</v>
      </c>
      <c r="D9">
        <v>15</v>
      </c>
      <c r="E9">
        <v>0</v>
      </c>
      <c r="F9">
        <v>15</v>
      </c>
      <c r="G9" s="12">
        <f>SUMIFS(ComprasDetalle!E9:E19,ComprasDetalle!D9:D19,Inventario!C9)</f>
        <v>15</v>
      </c>
      <c r="H9" s="12"/>
      <c r="I9" s="12">
        <f t="shared" si="0"/>
        <v>15</v>
      </c>
    </row>
    <row r="10" spans="1:9" x14ac:dyDescent="0.25">
      <c r="A10" t="s">
        <v>159</v>
      </c>
      <c r="B10">
        <v>5</v>
      </c>
      <c r="C10" t="s">
        <v>123</v>
      </c>
      <c r="D10">
        <v>8</v>
      </c>
      <c r="E10">
        <v>0</v>
      </c>
      <c r="F10">
        <v>8</v>
      </c>
      <c r="G10" s="12">
        <f>SUMIFS(ComprasDetalle!E10:E20,ComprasDetalle!D10:D20,Inventario!C10)</f>
        <v>8</v>
      </c>
      <c r="H10" s="12"/>
      <c r="I10" s="12">
        <f t="shared" si="0"/>
        <v>8</v>
      </c>
    </row>
    <row r="11" spans="1:9" x14ac:dyDescent="0.25">
      <c r="A11" t="s">
        <v>159</v>
      </c>
      <c r="B11">
        <v>6</v>
      </c>
      <c r="C11" t="s">
        <v>125</v>
      </c>
      <c r="D11">
        <v>20</v>
      </c>
      <c r="E11">
        <v>0</v>
      </c>
      <c r="F11">
        <v>20</v>
      </c>
      <c r="G11" s="12">
        <f>SUMIFS(ComprasDetalle!E11:E21,ComprasDetalle!D11:D21,Inventario!C11)</f>
        <v>20</v>
      </c>
      <c r="H11" s="12"/>
      <c r="I11" s="12">
        <f t="shared" si="0"/>
        <v>20</v>
      </c>
    </row>
    <row r="12" spans="1:9" x14ac:dyDescent="0.25">
      <c r="A12" t="s">
        <v>159</v>
      </c>
      <c r="B12">
        <v>10</v>
      </c>
      <c r="C12" t="s">
        <v>133</v>
      </c>
      <c r="D12">
        <v>30</v>
      </c>
      <c r="E12">
        <v>0</v>
      </c>
      <c r="F12">
        <v>30</v>
      </c>
      <c r="G12" s="12">
        <f>SUMIFS(ComprasDetalle!E12:E22,ComprasDetalle!D12:D22,Inventario!C12)</f>
        <v>30</v>
      </c>
      <c r="H12" s="12"/>
      <c r="I12" s="12">
        <f t="shared" si="0"/>
        <v>30</v>
      </c>
    </row>
    <row r="13" spans="1:9" x14ac:dyDescent="0.25">
      <c r="A13" t="s">
        <v>159</v>
      </c>
      <c r="B13">
        <v>9</v>
      </c>
      <c r="C13" t="s">
        <v>131</v>
      </c>
      <c r="D13">
        <v>15</v>
      </c>
      <c r="E13">
        <v>0</v>
      </c>
      <c r="F13">
        <v>15</v>
      </c>
      <c r="G13" s="12">
        <f>SUMIFS(ComprasDetalle!E13:E23,ComprasDetalle!D13:D23,Inventario!C13)</f>
        <v>15</v>
      </c>
      <c r="H13" s="12"/>
      <c r="I13" s="12">
        <f t="shared" si="0"/>
        <v>15</v>
      </c>
    </row>
  </sheetData>
  <sheetProtection algorithmName="SHA-512" hashValue="0Zsq8Yjm3yv1nWblTzrKh147kldv9CzTR28KGTbgEfTPSLadAC1rWnJXOjJDtBxCn9NY692Djckah98M5M1MAw==" saltValue="Zh/OHziJGYyCjZDiJWxawA==" spinCount="100000" sheet="1" objects="1" scenarios="1"/>
  <mergeCells count="3">
    <mergeCell ref="A1:F1"/>
    <mergeCell ref="A2:F2"/>
    <mergeCell ref="G3:I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E6641-A649-42B4-9A3C-CF01A59C9D79}">
  <sheetPr codeName="Hoja3"/>
  <dimension ref="A1:J3"/>
  <sheetViews>
    <sheetView workbookViewId="0">
      <selection sqref="A1:A1048576"/>
    </sheetView>
  </sheetViews>
  <sheetFormatPr baseColWidth="10" defaultRowHeight="15" x14ac:dyDescent="0.25"/>
  <cols>
    <col min="1" max="1" width="6.28515625" customWidth="1"/>
    <col min="3" max="3" width="13.140625" bestFit="1" customWidth="1"/>
    <col min="4" max="4" width="25.42578125" bestFit="1" customWidth="1"/>
    <col min="5" max="5" width="17.7109375" bestFit="1" customWidth="1"/>
    <col min="7" max="7" width="37.5703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29</v>
      </c>
      <c r="I1" s="1" t="s">
        <v>32</v>
      </c>
      <c r="J1" s="1" t="s">
        <v>30</v>
      </c>
    </row>
    <row r="2" spans="1:10" x14ac:dyDescent="0.25">
      <c r="A2">
        <v>1</v>
      </c>
      <c r="B2" t="s">
        <v>20</v>
      </c>
      <c r="C2" t="s">
        <v>21</v>
      </c>
      <c r="D2" t="s">
        <v>22</v>
      </c>
      <c r="E2" t="s">
        <v>23</v>
      </c>
      <c r="F2" t="s">
        <v>35</v>
      </c>
      <c r="G2" t="s">
        <v>36</v>
      </c>
      <c r="H2" t="s">
        <v>31</v>
      </c>
      <c r="I2" s="2">
        <v>44202</v>
      </c>
    </row>
    <row r="3" spans="1:10" x14ac:dyDescent="0.25">
      <c r="A3">
        <v>2</v>
      </c>
      <c r="B3" t="s">
        <v>24</v>
      </c>
      <c r="C3" t="s">
        <v>26</v>
      </c>
      <c r="D3" t="s">
        <v>25</v>
      </c>
      <c r="E3" t="s">
        <v>27</v>
      </c>
      <c r="F3" t="s">
        <v>28</v>
      </c>
      <c r="G3" t="s">
        <v>33</v>
      </c>
      <c r="H3" t="s">
        <v>31</v>
      </c>
      <c r="I3" s="2">
        <v>44202</v>
      </c>
      <c r="J3" s="2"/>
    </row>
  </sheetData>
  <sheetProtection algorithmName="SHA-512" hashValue="hWgcZ9S27iIbpu2HJSxM2RI0GQYrwqfvmFGdPY+Y3cIQAgABq+yBU1llucUzevE7C0i1gLlK4sK/NwjvkSbl2A==" saltValue="tt8/R9r77m0aPFvIEf2IMg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5F5C1-AB0D-4029-806E-E1E7D3B961B1}">
  <sheetPr codeName="Hoja5"/>
  <dimension ref="A1:J6"/>
  <sheetViews>
    <sheetView zoomScale="90" zoomScaleNormal="90" workbookViewId="0">
      <selection activeCell="D33" sqref="D33"/>
    </sheetView>
  </sheetViews>
  <sheetFormatPr baseColWidth="10" defaultRowHeight="15" x14ac:dyDescent="0.25"/>
  <cols>
    <col min="1" max="1" width="15.7109375" bestFit="1" customWidth="1"/>
    <col min="3" max="3" width="11.85546875" bestFit="1" customWidth="1"/>
    <col min="4" max="4" width="24.28515625" customWidth="1"/>
    <col min="5" max="5" width="16.28515625" bestFit="1" customWidth="1"/>
    <col min="6" max="6" width="18.140625" customWidth="1"/>
    <col min="8" max="8" width="30.42578125" customWidth="1"/>
  </cols>
  <sheetData>
    <row r="1" spans="1:10" x14ac:dyDescent="0.25">
      <c r="A1" s="3" t="s">
        <v>43</v>
      </c>
      <c r="B1" s="1" t="s">
        <v>0</v>
      </c>
      <c r="C1" s="1" t="s">
        <v>37</v>
      </c>
      <c r="D1" s="1" t="s">
        <v>3</v>
      </c>
      <c r="E1" s="1" t="s">
        <v>38</v>
      </c>
      <c r="F1" s="1" t="s">
        <v>6</v>
      </c>
      <c r="G1" s="1" t="s">
        <v>5</v>
      </c>
      <c r="H1" s="1" t="s">
        <v>39</v>
      </c>
      <c r="I1" s="1" t="s">
        <v>29</v>
      </c>
      <c r="J1" s="1" t="s">
        <v>30</v>
      </c>
    </row>
    <row r="2" spans="1:10" x14ac:dyDescent="0.25">
      <c r="A2" t="s">
        <v>44</v>
      </c>
      <c r="B2" t="s">
        <v>40</v>
      </c>
      <c r="C2" t="s">
        <v>41</v>
      </c>
      <c r="D2" t="s">
        <v>42</v>
      </c>
      <c r="E2" t="s">
        <v>45</v>
      </c>
      <c r="F2" t="s">
        <v>6</v>
      </c>
      <c r="G2" t="s">
        <v>46</v>
      </c>
      <c r="H2" t="s">
        <v>47</v>
      </c>
      <c r="I2" t="s">
        <v>31</v>
      </c>
    </row>
    <row r="3" spans="1:10" x14ac:dyDescent="0.25">
      <c r="A3" t="s">
        <v>44</v>
      </c>
      <c r="B3" t="s">
        <v>48</v>
      </c>
      <c r="C3" t="s">
        <v>49</v>
      </c>
      <c r="D3" t="s">
        <v>50</v>
      </c>
      <c r="E3" t="s">
        <v>53</v>
      </c>
      <c r="F3" t="s">
        <v>51</v>
      </c>
      <c r="G3" t="s">
        <v>52</v>
      </c>
      <c r="H3" t="s">
        <v>54</v>
      </c>
      <c r="I3" t="s">
        <v>34</v>
      </c>
      <c r="J3" s="2">
        <v>44240</v>
      </c>
    </row>
    <row r="4" spans="1:10" x14ac:dyDescent="0.25">
      <c r="A4" t="s">
        <v>44</v>
      </c>
      <c r="B4" t="s">
        <v>55</v>
      </c>
      <c r="C4" t="s">
        <v>49</v>
      </c>
      <c r="D4" t="s">
        <v>56</v>
      </c>
      <c r="E4" t="s">
        <v>57</v>
      </c>
      <c r="F4" t="s">
        <v>51</v>
      </c>
      <c r="G4" t="s">
        <v>63</v>
      </c>
      <c r="H4" t="s">
        <v>47</v>
      </c>
      <c r="I4" t="s">
        <v>31</v>
      </c>
    </row>
    <row r="5" spans="1:10" x14ac:dyDescent="0.25">
      <c r="A5" t="s">
        <v>44</v>
      </c>
      <c r="B5" t="s">
        <v>58</v>
      </c>
      <c r="C5" t="s">
        <v>41</v>
      </c>
      <c r="D5" t="s">
        <v>59</v>
      </c>
      <c r="E5" t="s">
        <v>60</v>
      </c>
      <c r="F5" t="s">
        <v>61</v>
      </c>
      <c r="G5" t="s">
        <v>62</v>
      </c>
      <c r="H5" t="s">
        <v>47</v>
      </c>
      <c r="I5" t="s">
        <v>34</v>
      </c>
      <c r="J5" s="2">
        <v>44240</v>
      </c>
    </row>
    <row r="6" spans="1:10" x14ac:dyDescent="0.25">
      <c r="A6" t="s">
        <v>147</v>
      </c>
      <c r="B6" t="s">
        <v>122</v>
      </c>
      <c r="C6" t="s">
        <v>41</v>
      </c>
      <c r="D6" t="s">
        <v>148</v>
      </c>
      <c r="E6" t="s">
        <v>149</v>
      </c>
      <c r="F6" t="s">
        <v>150</v>
      </c>
      <c r="G6" t="s">
        <v>151</v>
      </c>
      <c r="H6" t="s">
        <v>47</v>
      </c>
      <c r="I6" t="s">
        <v>31</v>
      </c>
    </row>
  </sheetData>
  <sheetProtection algorithmName="SHA-512" hashValue="oNVzpBKOegLA67ihDIngJ0IjSGw6dw75zMZ7iv3DiNVbyl+Yt8T2FznkQzC+oowa3aErhKUos5eq5jABQwU1+w==" saltValue="VxDkId0QwXZgsdv1hKsXKg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D3E22-DC5E-4F6C-9194-5A394D31CED7}">
  <sheetPr codeName="Hoja4"/>
  <dimension ref="A1:M3"/>
  <sheetViews>
    <sheetView workbookViewId="0">
      <selection activeCell="C25" sqref="C25"/>
    </sheetView>
  </sheetViews>
  <sheetFormatPr baseColWidth="10" defaultRowHeight="15" x14ac:dyDescent="0.25"/>
  <cols>
    <col min="1" max="1" width="13.7109375" bestFit="1" customWidth="1"/>
    <col min="10" max="10" width="16.28515625" bestFit="1" customWidth="1"/>
    <col min="11" max="11" width="13.140625" bestFit="1" customWidth="1"/>
  </cols>
  <sheetData>
    <row r="1" spans="1:13" x14ac:dyDescent="0.25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18</v>
      </c>
      <c r="M1" s="1" t="s">
        <v>19</v>
      </c>
    </row>
    <row r="2" spans="1:13" x14ac:dyDescent="0.25">
      <c r="A2" t="s">
        <v>20</v>
      </c>
      <c r="B2">
        <v>0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  <c r="J2">
        <v>0</v>
      </c>
      <c r="K2">
        <v>1</v>
      </c>
      <c r="L2" t="s">
        <v>20</v>
      </c>
      <c r="M2" s="2">
        <v>44258</v>
      </c>
    </row>
    <row r="3" spans="1:13" x14ac:dyDescent="0.25">
      <c r="A3" t="s">
        <v>24</v>
      </c>
      <c r="B3">
        <v>1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 t="s">
        <v>20</v>
      </c>
      <c r="M3" s="2">
        <v>44237</v>
      </c>
    </row>
  </sheetData>
  <sheetProtection algorithmName="SHA-512" hashValue="b41ogQe7vrQKmA7ZM8H63s/PPwe+dlRtKAbCGYkQpabQnLdlNSA0TkI0jamze8bIBAyywz6+MmCkU+ElKx96lg==" saltValue="FrLDmd4WikQNMPDnpmdUT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Empresa</vt:lpstr>
      <vt:lpstr>Hoja2</vt:lpstr>
      <vt:lpstr>Catalogos</vt:lpstr>
      <vt:lpstr>Articulos</vt:lpstr>
      <vt:lpstr>HistArtic</vt:lpstr>
      <vt:lpstr>Compras</vt:lpstr>
      <vt:lpstr>ComprasDetalle</vt:lpstr>
      <vt:lpstr>Ventas</vt:lpstr>
      <vt:lpstr>VentasDetalle</vt:lpstr>
      <vt:lpstr>Inventario</vt:lpstr>
      <vt:lpstr>Usuarios</vt:lpstr>
      <vt:lpstr>Clientes_Proveedores</vt:lpstr>
      <vt:lpstr>PrivilegioUsuarios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Victorm</dc:creator>
  <cp:lastModifiedBy>Victorm</cp:lastModifiedBy>
  <cp:lastPrinted>2021-03-06T15:54:08Z</cp:lastPrinted>
  <dcterms:created xsi:type="dcterms:W3CDTF">2021-01-18T03:29:29Z</dcterms:created>
  <dcterms:modified xsi:type="dcterms:W3CDTF">2021-03-06T17:01:05Z</dcterms:modified>
</cp:coreProperties>
</file>